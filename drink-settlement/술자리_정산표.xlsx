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정산" sheetId="1" state="visible" r:id="rId3"/>
    <sheet name="계산(자동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<sst xmlns="http://schemas.openxmlformats.org/spreadsheetml/2006/main" count="57" uniqueCount="42">
  <si>
    <r>
      <rPr>
        <b val="true"/>
        <sz val="16"/>
        <rFont val="WenQuanYi Zen Hei"/>
        <family val="2"/>
      </rPr>
      <t xml:space="preserve">🍺 술자리 </t>
    </r>
    <r>
      <rPr>
        <b val="true"/>
        <sz val="16"/>
        <rFont val="Arial"/>
        <family val="0"/>
        <charset val="1"/>
      </rPr>
      <t xml:space="preserve">N</t>
    </r>
    <r>
      <rPr>
        <b val="true"/>
        <sz val="16"/>
        <rFont val="WenQuanYi Zen Hei"/>
        <family val="2"/>
      </rPr>
      <t xml:space="preserve">차 정산표</t>
    </r>
  </si>
  <si>
    <r>
      <rPr>
        <sz val="10"/>
        <color rgb="FF595959"/>
        <rFont val="WenQuanYi Zen Hei"/>
        <family val="2"/>
      </rPr>
      <t xml:space="preserve">노란 칸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파란 글씨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만 입력하세요 → ① 아래 </t>
    </r>
    <r>
      <rPr>
        <sz val="10"/>
        <color rgb="FF595959"/>
        <rFont val="Arial"/>
        <family val="0"/>
        <charset val="1"/>
      </rPr>
      <t xml:space="preserve">[</t>
    </r>
    <r>
      <rPr>
        <sz val="10"/>
        <color rgb="FF595959"/>
        <rFont val="WenQuanYi Zen Hei"/>
        <family val="2"/>
      </rPr>
      <t xml:space="preserve">참여 체크</t>
    </r>
    <r>
      <rPr>
        <sz val="10"/>
        <color rgb="FF595959"/>
        <rFont val="Arial"/>
        <family val="0"/>
        <charset val="1"/>
      </rPr>
      <t xml:space="preserve">]</t>
    </r>
    <r>
      <rPr>
        <sz val="10"/>
        <color rgb="FF595959"/>
        <rFont val="WenQuanYi Zen Hei"/>
        <family val="2"/>
      </rPr>
      <t xml:space="preserve">에 이름 입력  ② </t>
    </r>
    <r>
      <rPr>
        <sz val="10"/>
        <color rgb="FF595959"/>
        <rFont val="Arial"/>
        <family val="0"/>
        <charset val="1"/>
      </rPr>
      <t xml:space="preserve">[</t>
    </r>
    <r>
      <rPr>
        <sz val="10"/>
        <color rgb="FF595959"/>
        <rFont val="WenQuanYi Zen Hei"/>
        <family val="2"/>
      </rPr>
      <t xml:space="preserve">차수별 결제</t>
    </r>
    <r>
      <rPr>
        <sz val="10"/>
        <color rgb="FF595959"/>
        <rFont val="Arial"/>
        <family val="0"/>
        <charset val="1"/>
      </rPr>
      <t xml:space="preserve">]</t>
    </r>
    <r>
      <rPr>
        <sz val="10"/>
        <color rgb="FF595959"/>
        <rFont val="WenQuanYi Zen Hei"/>
        <family val="2"/>
      </rPr>
      <t xml:space="preserve">에 금액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결제자 선택  ③ 참여한 차수에 </t>
    </r>
    <r>
      <rPr>
        <sz val="10"/>
        <color rgb="FF595959"/>
        <rFont val="Arial"/>
        <family val="0"/>
        <charset val="1"/>
      </rPr>
      <t xml:space="preserve">O </t>
    </r>
    <r>
      <rPr>
        <sz val="10"/>
        <color rgb="FF595959"/>
        <rFont val="WenQuanYi Zen Hei"/>
        <family val="2"/>
      </rPr>
      <t xml:space="preserve">선택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나머지는 자동 계산됩니다</t>
    </r>
    <r>
      <rPr>
        <sz val="10"/>
        <color rgb="FF595959"/>
        <rFont val="Arial"/>
        <family val="0"/>
        <charset val="1"/>
      </rPr>
      <t xml:space="preserve">.</t>
    </r>
  </si>
  <si>
    <r>
      <rPr>
        <sz val="10"/>
        <color rgb="FFC00000"/>
        <rFont val="WenQuanYi Zen Hei"/>
        <family val="2"/>
      </rPr>
      <t xml:space="preserve">※ 예시 데이터가 들어 있습니다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지우고 새로 입력하면 됩니다</t>
    </r>
    <r>
      <rPr>
        <sz val="10"/>
        <color rgb="FFC00000"/>
        <rFont val="Arial"/>
        <family val="0"/>
        <charset val="1"/>
      </rPr>
      <t xml:space="preserve">. (</t>
    </r>
    <r>
      <rPr>
        <sz val="10"/>
        <color rgb="FFC00000"/>
        <rFont val="WenQuanYi Zen Hei"/>
        <family val="2"/>
      </rPr>
      <t xml:space="preserve">최대 </t>
    </r>
    <r>
      <rPr>
        <sz val="10"/>
        <color rgb="FFC00000"/>
        <rFont val="Arial"/>
        <family val="0"/>
        <charset val="1"/>
      </rPr>
      <t xml:space="preserve">6</t>
    </r>
    <r>
      <rPr>
        <sz val="10"/>
        <color rgb="FFC00000"/>
        <rFont val="WenQuanYi Zen Hei"/>
        <family val="2"/>
      </rPr>
      <t xml:space="preserve">차 </t>
    </r>
    <r>
      <rPr>
        <sz val="10"/>
        <color rgb="FFC00000"/>
        <rFont val="Arial"/>
        <family val="0"/>
        <charset val="1"/>
      </rPr>
      <t xml:space="preserve">/ 12</t>
    </r>
    <r>
      <rPr>
        <sz val="10"/>
        <color rgb="FFC00000"/>
        <rFont val="WenQuanYi Zen Hei"/>
        <family val="2"/>
      </rPr>
      <t xml:space="preserve">명</t>
    </r>
    <r>
      <rPr>
        <sz val="10"/>
        <color rgb="FFC00000"/>
        <rFont val="Arial"/>
        <family val="0"/>
        <charset val="1"/>
      </rPr>
      <t xml:space="preserve">)</t>
    </r>
  </si>
  <si>
    <r>
      <rPr>
        <b val="true"/>
        <sz val="12"/>
        <rFont val="Arial"/>
        <family val="0"/>
        <charset val="1"/>
      </rPr>
      <t xml:space="preserve">1. </t>
    </r>
    <r>
      <rPr>
        <b val="true"/>
        <sz val="12"/>
        <rFont val="WenQuanYi Zen Hei"/>
        <family val="2"/>
      </rPr>
      <t xml:space="preserve">차수별 결제</t>
    </r>
  </si>
  <si>
    <t xml:space="preserve">차수</t>
  </si>
  <si>
    <r>
      <rPr>
        <b val="true"/>
        <sz val="11"/>
        <color rgb="FFFFFFFF"/>
        <rFont val="WenQuanYi Zen Hei"/>
        <family val="2"/>
      </rPr>
      <t xml:space="preserve">장소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메모</t>
    </r>
  </si>
  <si>
    <t xml:space="preserve">총 금액</t>
  </si>
  <si>
    <t xml:space="preserve">결제한 사람</t>
  </si>
  <si>
    <t xml:space="preserve">참여 인원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</si>
  <si>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인당 금액</t>
    </r>
  </si>
  <si>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WenQuanYi Zen Hei"/>
        <family val="2"/>
      </rPr>
      <t xml:space="preserve">차</t>
    </r>
  </si>
  <si>
    <t xml:space="preserve">삼겹살집</t>
  </si>
  <si>
    <t xml:space="preserve">민수</t>
  </si>
  <si>
    <r>
      <rPr>
        <b val="true"/>
        <sz val="11"/>
        <color rgb="FF000000"/>
        <rFont val="Arial"/>
        <family val="0"/>
        <charset val="1"/>
      </rPr>
      <t xml:space="preserve">2</t>
    </r>
    <r>
      <rPr>
        <b val="true"/>
        <sz val="11"/>
        <color rgb="FF000000"/>
        <rFont val="WenQuanYi Zen Hei"/>
        <family val="2"/>
      </rPr>
      <t xml:space="preserve">차</t>
    </r>
  </si>
  <si>
    <t xml:space="preserve">호프집</t>
  </si>
  <si>
    <t xml:space="preserve">지영</t>
  </si>
  <si>
    <r>
      <rPr>
        <b val="true"/>
        <sz val="11"/>
        <color rgb="FF000000"/>
        <rFont val="Arial"/>
        <family val="0"/>
        <charset val="1"/>
      </rPr>
      <t xml:space="preserve">3</t>
    </r>
    <r>
      <rPr>
        <b val="true"/>
        <sz val="11"/>
        <color rgb="FF000000"/>
        <rFont val="WenQuanYi Zen Hei"/>
        <family val="2"/>
      </rPr>
      <t xml:space="preserve">차</t>
    </r>
  </si>
  <si>
    <t xml:space="preserve">노래방</t>
  </si>
  <si>
    <r>
      <rPr>
        <b val="true"/>
        <sz val="11"/>
        <color rgb="FF000000"/>
        <rFont val="Arial"/>
        <family val="0"/>
        <charset val="1"/>
      </rPr>
      <t xml:space="preserve">4</t>
    </r>
    <r>
      <rPr>
        <b val="true"/>
        <sz val="11"/>
        <color rgb="FF000000"/>
        <rFont val="WenQuanYi Zen Hei"/>
        <family val="2"/>
      </rPr>
      <t xml:space="preserve">차</t>
    </r>
  </si>
  <si>
    <r>
      <rPr>
        <b val="true"/>
        <sz val="11"/>
        <color rgb="FF000000"/>
        <rFont val="Arial"/>
        <family val="0"/>
        <charset val="1"/>
      </rPr>
      <t xml:space="preserve">5</t>
    </r>
    <r>
      <rPr>
        <b val="true"/>
        <sz val="11"/>
        <color rgb="FF000000"/>
        <rFont val="WenQuanYi Zen Hei"/>
        <family val="2"/>
      </rPr>
      <t xml:space="preserve">차</t>
    </r>
  </si>
  <si>
    <r>
      <rPr>
        <b val="true"/>
        <sz val="11"/>
        <color rgb="FF000000"/>
        <rFont val="Arial"/>
        <family val="0"/>
        <charset val="1"/>
      </rPr>
      <t xml:space="preserve">6</t>
    </r>
    <r>
      <rPr>
        <b val="true"/>
        <sz val="11"/>
        <color rgb="FF000000"/>
        <rFont val="WenQuanYi Zen Hei"/>
        <family val="2"/>
      </rPr>
      <t xml:space="preserve">차</t>
    </r>
  </si>
  <si>
    <t xml:space="preserve">합계</t>
  </si>
  <si>
    <r>
      <rPr>
        <b val="true"/>
        <sz val="12"/>
        <rFont val="Arial"/>
        <family val="0"/>
        <charset val="1"/>
      </rPr>
      <t xml:space="preserve">2. </t>
    </r>
    <r>
      <rPr>
        <b val="true"/>
        <sz val="12"/>
        <rFont val="WenQuanYi Zen Hei"/>
        <family val="2"/>
      </rPr>
      <t xml:space="preserve">참여 체크 </t>
    </r>
    <r>
      <rPr>
        <b val="true"/>
        <sz val="12"/>
        <rFont val="Arial"/>
        <family val="0"/>
        <charset val="1"/>
      </rPr>
      <t xml:space="preserve">&amp; </t>
    </r>
    <r>
      <rPr>
        <b val="true"/>
        <sz val="12"/>
        <rFont val="WenQuanYi Zen Hei"/>
        <family val="2"/>
      </rPr>
      <t xml:space="preserve">개인별 정산</t>
    </r>
  </si>
  <si>
    <t xml:space="preserve">이름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</si>
  <si>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</si>
  <si>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</si>
  <si>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</si>
  <si>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</si>
  <si>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</si>
  <si>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차</t>
    </r>
  </si>
  <si>
    <t xml:space="preserve">내야 할 돈</t>
  </si>
  <si>
    <t xml:space="preserve">이미 낸 돈</t>
  </si>
  <si>
    <r>
      <rPr>
        <b val="true"/>
        <sz val="11"/>
        <color rgb="FFFFFFFF"/>
        <rFont val="WenQuanYi Zen Hei"/>
        <family val="2"/>
      </rPr>
      <t xml:space="preserve">차액 </t>
    </r>
    <r>
      <rPr>
        <b val="true"/>
        <sz val="11"/>
        <color rgb="FFFFFFFF"/>
        <rFont val="Arial"/>
        <family val="0"/>
        <charset val="1"/>
      </rPr>
      <t xml:space="preserve">(+</t>
    </r>
    <r>
      <rPr>
        <b val="true"/>
        <sz val="11"/>
        <color rgb="FFFFFFFF"/>
        <rFont val="WenQuanYi Zen Hei"/>
        <family val="2"/>
      </rPr>
      <t xml:space="preserve">받음</t>
    </r>
    <r>
      <rPr>
        <b val="true"/>
        <sz val="11"/>
        <color rgb="FFFFFFFF"/>
        <rFont val="Arial"/>
        <family val="0"/>
        <charset val="1"/>
      </rPr>
      <t xml:space="preserve">/-</t>
    </r>
    <r>
      <rPr>
        <b val="true"/>
        <sz val="11"/>
        <color rgb="FFFFFFFF"/>
        <rFont val="WenQuanYi Zen Hei"/>
        <family val="2"/>
      </rPr>
      <t xml:space="preserve">보냄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</si>
  <si>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결과</t>
  </si>
  <si>
    <t xml:space="preserve">O</t>
  </si>
  <si>
    <t xml:space="preserve">철수</t>
  </si>
  <si>
    <t xml:space="preserve">영희</t>
  </si>
  <si>
    <t xml:space="preserve">준호</t>
  </si>
  <si>
    <r>
      <rPr>
        <b val="true"/>
        <sz val="12"/>
        <rFont val="Arial"/>
        <family val="0"/>
        <charset val="1"/>
      </rPr>
      <t xml:space="preserve">3. </t>
    </r>
    <r>
      <rPr>
        <b val="true"/>
        <sz val="12"/>
        <rFont val="WenQuanYi Zen Hei"/>
        <family val="2"/>
      </rPr>
      <t xml:space="preserve">누가 누구에게 얼마 보내면 되나요</t>
    </r>
    <r>
      <rPr>
        <b val="true"/>
        <sz val="12"/>
        <rFont val="Arial"/>
        <family val="0"/>
        <charset val="1"/>
      </rPr>
      <t xml:space="preserve">? (</t>
    </r>
    <r>
      <rPr>
        <b val="true"/>
        <sz val="12"/>
        <rFont val="WenQuanYi Zen Hei"/>
        <family val="2"/>
      </rPr>
      <t xml:space="preserve">행 → 열로 송금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WenQuanYi Zen Hei"/>
        <family val="2"/>
      </rPr>
      <t xml:space="preserve">서로 갚을 돈은 상계됨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</si>
  <si>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보내는 사람 ↓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받는 사람 →</t>
    </r>
  </si>
  <si>
    <t xml:space="preserve">총 보낼 돈</t>
  </si>
  <si>
    <r>
      <rPr>
        <b val="true"/>
        <sz val="11"/>
        <rFont val="Arial"/>
        <family val="0"/>
        <charset val="1"/>
      </rPr>
      <t xml:space="preserve">X(</t>
    </r>
    <r>
      <rPr>
        <b val="true"/>
        <sz val="11"/>
        <rFont val="WenQuanYi Zen Hei"/>
        <family val="2"/>
      </rPr>
      <t xml:space="preserve">행</t>
    </r>
    <r>
      <rPr>
        <b val="true"/>
        <sz val="11"/>
        <rFont val="Arial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가 </t>
    </r>
    <r>
      <rPr>
        <b val="true"/>
        <sz val="11"/>
        <rFont val="Arial"/>
        <family val="0"/>
        <charset val="1"/>
      </rPr>
      <t xml:space="preserve">Y(</t>
    </r>
    <r>
      <rPr>
        <b val="true"/>
        <sz val="11"/>
        <rFont val="WenQuanYi Zen Hei"/>
        <family val="2"/>
      </rPr>
      <t xml:space="preserve">열</t>
    </r>
    <r>
      <rPr>
        <b val="true"/>
        <sz val="11"/>
        <rFont val="Arial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에게 갚을 금액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상계 전</t>
    </r>
    <r>
      <rPr>
        <b val="true"/>
        <sz val="11"/>
        <rFont val="Arial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수정하지 마세요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</si>
</sst>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원;\-#,##0\원;\-"/>
    <numFmt numFmtId="166" formatCode="0\명"/>
    <numFmt numFmtId="167" formatCode="\+#,##0\원;\-#,##0\원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Arial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sz val="10"/>
      <color rgb="FFC00000"/>
      <name val="WenQuanYi Zen Hei"/>
      <family val="2"/>
    </font>
    <font>
      <sz val="10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WenQuanYi Zen Hei"/>
      <family val="2"/>
    </font>
    <font>
      <sz val="11"/>
      <color rgb="FF0000FF"/>
      <name val="WenQuanYi Zen Hei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WenQuanYi Zen Hei"/>
      <family val="2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color rgb="FF008000"/>
      <name val="WenQuanYi Zen Hei"/>
      <family val="2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0" min="4" style="0" width="13"/>
    <col collapsed="false" customWidth="true" hidden="false" outlineLevel="0" max="11" min="11" style="0" width="17"/>
    <col collapsed="false" customWidth="true" hidden="false" outlineLevel="0" max="12" min="12" style="0" width="20"/>
    <col collapsed="false" customWidth="true" hidden="false" outlineLevel="0" max="15" min="13" style="0" width="13"/>
  </cols>
  <sheetData>
    <row r="1" customFormat="false" ht="20.8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6.4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6" t="s">
        <v>9</v>
      </c>
    </row>
    <row r="7" customFormat="false" ht="15" hidden="false" customHeight="false" outlineLevel="0" collapsed="false">
      <c r="B7" s="7" t="s">
        <v>10</v>
      </c>
      <c r="C7" s="8" t="s">
        <v>11</v>
      </c>
      <c r="D7" s="9" t="n">
        <v>120000</v>
      </c>
      <c r="E7" s="10" t="s">
        <v>12</v>
      </c>
      <c r="F7" s="11" t="n">
        <f aca="false">COUNTIF(C$17:C$28,"O")</f>
        <v>4</v>
      </c>
      <c r="G7" s="12" t="n">
        <f aca="false">IF(F7=0,0,D7/F7)</f>
        <v>30000</v>
      </c>
    </row>
    <row r="8" customFormat="false" ht="15" hidden="false" customHeight="false" outlineLevel="0" collapsed="false">
      <c r="B8" s="7" t="s">
        <v>13</v>
      </c>
      <c r="C8" s="8" t="s">
        <v>14</v>
      </c>
      <c r="D8" s="9" t="n">
        <v>85000</v>
      </c>
      <c r="E8" s="10" t="s">
        <v>15</v>
      </c>
      <c r="F8" s="11" t="n">
        <f aca="false">COUNTIF(D$17:D$28,"O")</f>
        <v>4</v>
      </c>
      <c r="G8" s="12" t="n">
        <f aca="false">IF(F8=0,0,D8/F8)</f>
        <v>21250</v>
      </c>
    </row>
    <row r="9" customFormat="false" ht="15" hidden="false" customHeight="false" outlineLevel="0" collapsed="false">
      <c r="B9" s="7" t="s">
        <v>16</v>
      </c>
      <c r="C9" s="8" t="s">
        <v>17</v>
      </c>
      <c r="D9" s="9" t="n">
        <v>40000</v>
      </c>
      <c r="E9" s="10" t="s">
        <v>12</v>
      </c>
      <c r="F9" s="11" t="n">
        <f aca="false">COUNTIF(E$17:E$28,"O")</f>
        <v>4</v>
      </c>
      <c r="G9" s="12" t="n">
        <f aca="false">IF(F9=0,0,D9/F9)</f>
        <v>10000</v>
      </c>
    </row>
    <row r="10" customFormat="false" ht="15" hidden="false" customHeight="false" outlineLevel="0" collapsed="false">
      <c r="B10" s="7" t="s">
        <v>18</v>
      </c>
      <c r="C10" s="8"/>
      <c r="D10" s="9"/>
      <c r="E10" s="10"/>
      <c r="F10" s="11" t="n">
        <f aca="false">COUNTIF(F$17:F$28,"O")</f>
        <v>0</v>
      </c>
      <c r="G10" s="12" t="n">
        <f aca="false">IF(F10=0,0,D10/F10)</f>
        <v>0</v>
      </c>
    </row>
    <row r="11" customFormat="false" ht="15" hidden="false" customHeight="false" outlineLevel="0" collapsed="false">
      <c r="B11" s="7" t="s">
        <v>19</v>
      </c>
      <c r="C11" s="8"/>
      <c r="D11" s="9"/>
      <c r="E11" s="10"/>
      <c r="F11" s="11" t="n">
        <f aca="false">COUNTIF(G$17:G$28,"O")</f>
        <v>0</v>
      </c>
      <c r="G11" s="12" t="n">
        <f aca="false">IF(F11=0,0,D11/F11)</f>
        <v>0</v>
      </c>
    </row>
    <row r="12" customFormat="false" ht="15" hidden="false" customHeight="false" outlineLevel="0" collapsed="false">
      <c r="B12" s="7" t="s">
        <v>20</v>
      </c>
      <c r="C12" s="8"/>
      <c r="D12" s="9"/>
      <c r="E12" s="10"/>
      <c r="F12" s="11" t="n">
        <f aca="false">COUNTIF(H$17:H$28,"O")</f>
        <v>0</v>
      </c>
      <c r="G12" s="12" t="n">
        <f aca="false">IF(F12=0,0,D12/F12)</f>
        <v>0</v>
      </c>
    </row>
    <row r="13" customFormat="false" ht="15" hidden="false" customHeight="false" outlineLevel="0" collapsed="false">
      <c r="B13" s="13" t="s">
        <v>21</v>
      </c>
      <c r="C13" s="14"/>
      <c r="D13" s="15" t="n">
        <f aca="false">SUM(D7:D12)</f>
        <v>245000</v>
      </c>
      <c r="E13" s="14"/>
      <c r="F13" s="14"/>
      <c r="G13" s="14"/>
    </row>
    <row r="15" customFormat="false" ht="16.4" hidden="false" customHeight="false" outlineLevel="0" collapsed="false">
      <c r="B15" s="4" t="s">
        <v>22</v>
      </c>
    </row>
    <row r="16" customFormat="false" ht="27.6" hidden="false" customHeight="false" outlineLevel="0" collapsed="false">
      <c r="B16" s="5" t="s">
        <v>23</v>
      </c>
      <c r="C16" s="6" t="s">
        <v>24</v>
      </c>
      <c r="D16" s="6" t="s">
        <v>25</v>
      </c>
      <c r="E16" s="6" t="s">
        <v>26</v>
      </c>
      <c r="F16" s="6" t="s">
        <v>27</v>
      </c>
      <c r="G16" s="6" t="s">
        <v>28</v>
      </c>
      <c r="H16" s="6" t="s">
        <v>29</v>
      </c>
      <c r="I16" s="5" t="s">
        <v>30</v>
      </c>
      <c r="J16" s="5" t="s">
        <v>31</v>
      </c>
      <c r="K16" s="5" t="s">
        <v>32</v>
      </c>
      <c r="L16" s="5" t="s">
        <v>33</v>
      </c>
    </row>
    <row r="17" customFormat="false" ht="15" hidden="false" customHeight="false" outlineLevel="0" collapsed="false">
      <c r="B17" s="10" t="s">
        <v>12</v>
      </c>
      <c r="C17" s="16" t="s">
        <v>34</v>
      </c>
      <c r="D17" s="16" t="s">
        <v>34</v>
      </c>
      <c r="E17" s="16" t="s">
        <v>34</v>
      </c>
      <c r="F17" s="16"/>
      <c r="G17" s="16"/>
      <c r="H17" s="16"/>
      <c r="I17" s="12" t="n">
        <f aca="false">IF(C17="O",$G$7,0)+IF(D17="O",$G$8,0)+IF(E17="O",$G$9,0)+IF(F17="O",$G$10,0)+IF(G17="O",$G$11,0)+IF(H17="O",$G$12,0)</f>
        <v>61250</v>
      </c>
      <c r="J17" s="12" t="n">
        <f aca="false">IF(B17="",0,SUMIF($E$7:$E$12,B17,$D$7:$D$12))</f>
        <v>160000</v>
      </c>
      <c r="K17" s="17" t="n">
        <f aca="false">J17-I17</f>
        <v>98750</v>
      </c>
      <c r="L17" s="18" t="str">
        <f aca="false">IF(B17="","",IF(K17&gt;=1,"받을 돈 있음",IF(K17&lt;=-1,"보내야 함","정산 끝")))</f>
        <v>받을 돈 있음</v>
      </c>
    </row>
    <row r="18" customFormat="false" ht="15" hidden="false" customHeight="false" outlineLevel="0" collapsed="false">
      <c r="B18" s="10" t="s">
        <v>15</v>
      </c>
      <c r="C18" s="16" t="s">
        <v>34</v>
      </c>
      <c r="D18" s="16" t="s">
        <v>34</v>
      </c>
      <c r="E18" s="16" t="s">
        <v>34</v>
      </c>
      <c r="F18" s="16"/>
      <c r="G18" s="16"/>
      <c r="H18" s="16"/>
      <c r="I18" s="12" t="n">
        <f aca="false">IF(C18="O",$G$7,0)+IF(D18="O",$G$8,0)+IF(E18="O",$G$9,0)+IF(F18="O",$G$10,0)+IF(G18="O",$G$11,0)+IF(H18="O",$G$12,0)</f>
        <v>61250</v>
      </c>
      <c r="J18" s="12" t="n">
        <f aca="false">IF(B18="",0,SUMIF($E$7:$E$12,B18,$D$7:$D$12))</f>
        <v>85000</v>
      </c>
      <c r="K18" s="17" t="n">
        <f aca="false">J18-I18</f>
        <v>23750</v>
      </c>
      <c r="L18" s="18" t="str">
        <f aca="false">IF(B18="","",IF(K18&gt;=1,"받을 돈 있음",IF(K18&lt;=-1,"보내야 함","정산 끝")))</f>
        <v>받을 돈 있음</v>
      </c>
    </row>
    <row r="19" customFormat="false" ht="15" hidden="false" customHeight="false" outlineLevel="0" collapsed="false">
      <c r="B19" s="10" t="s">
        <v>35</v>
      </c>
      <c r="C19" s="16" t="s">
        <v>34</v>
      </c>
      <c r="D19" s="16" t="s">
        <v>34</v>
      </c>
      <c r="E19" s="16"/>
      <c r="F19" s="16"/>
      <c r="G19" s="16"/>
      <c r="H19" s="16"/>
      <c r="I19" s="12" t="n">
        <f aca="false">IF(C19="O",$G$7,0)+IF(D19="O",$G$8,0)+IF(E19="O",$G$9,0)+IF(F19="O",$G$10,0)+IF(G19="O",$G$11,0)+IF(H19="O",$G$12,0)</f>
        <v>51250</v>
      </c>
      <c r="J19" s="12" t="n">
        <f aca="false">IF(B19="",0,SUMIF($E$7:$E$12,B19,$D$7:$D$12))</f>
        <v>0</v>
      </c>
      <c r="K19" s="17" t="n">
        <f aca="false">J19-I19</f>
        <v>-51250</v>
      </c>
      <c r="L19" s="18" t="str">
        <f aca="false">IF(B19="","",IF(K19&gt;=1,"받을 돈 있음",IF(K19&lt;=-1,"보내야 함","정산 끝")))</f>
        <v>보내야 함</v>
      </c>
    </row>
    <row r="20" customFormat="false" ht="15" hidden="false" customHeight="false" outlineLevel="0" collapsed="false">
      <c r="B20" s="10" t="s">
        <v>36</v>
      </c>
      <c r="C20" s="16" t="s">
        <v>34</v>
      </c>
      <c r="D20" s="16"/>
      <c r="E20" s="16" t="s">
        <v>34</v>
      </c>
      <c r="F20" s="16"/>
      <c r="G20" s="16"/>
      <c r="H20" s="16"/>
      <c r="I20" s="12" t="n">
        <f aca="false">IF(C20="O",$G$7,0)+IF(D20="O",$G$8,0)+IF(E20="O",$G$9,0)+IF(F20="O",$G$10,0)+IF(G20="O",$G$11,0)+IF(H20="O",$G$12,0)</f>
        <v>40000</v>
      </c>
      <c r="J20" s="12" t="n">
        <f aca="false">IF(B20="",0,SUMIF($E$7:$E$12,B20,$D$7:$D$12))</f>
        <v>0</v>
      </c>
      <c r="K20" s="17" t="n">
        <f aca="false">J20-I20</f>
        <v>-40000</v>
      </c>
      <c r="L20" s="18" t="str">
        <f aca="false">IF(B20="","",IF(K20&gt;=1,"받을 돈 있음",IF(K20&lt;=-1,"보내야 함","정산 끝")))</f>
        <v>보내야 함</v>
      </c>
    </row>
    <row r="21" customFormat="false" ht="15" hidden="false" customHeight="false" outlineLevel="0" collapsed="false">
      <c r="B21" s="10" t="s">
        <v>37</v>
      </c>
      <c r="C21" s="16"/>
      <c r="D21" s="16" t="s">
        <v>34</v>
      </c>
      <c r="E21" s="16" t="s">
        <v>34</v>
      </c>
      <c r="F21" s="16"/>
      <c r="G21" s="16"/>
      <c r="H21" s="16"/>
      <c r="I21" s="12" t="n">
        <f aca="false">IF(C21="O",$G$7,0)+IF(D21="O",$G$8,0)+IF(E21="O",$G$9,0)+IF(F21="O",$G$10,0)+IF(G21="O",$G$11,0)+IF(H21="O",$G$12,0)</f>
        <v>31250</v>
      </c>
      <c r="J21" s="12" t="n">
        <f aca="false">IF(B21="",0,SUMIF($E$7:$E$12,B21,$D$7:$D$12))</f>
        <v>0</v>
      </c>
      <c r="K21" s="17" t="n">
        <f aca="false">J21-I21</f>
        <v>-31250</v>
      </c>
      <c r="L21" s="18" t="str">
        <f aca="false">IF(B21="","",IF(K21&gt;=1,"받을 돈 있음",IF(K21&lt;=-1,"보내야 함","정산 끝")))</f>
        <v>보내야 함</v>
      </c>
    </row>
    <row r="22" customFormat="false" ht="15" hidden="false" customHeight="false" outlineLevel="0" collapsed="false">
      <c r="B22" s="10"/>
      <c r="C22" s="16"/>
      <c r="D22" s="16"/>
      <c r="E22" s="16"/>
      <c r="F22" s="16"/>
      <c r="G22" s="16"/>
      <c r="H22" s="16"/>
      <c r="I22" s="12" t="n">
        <f aca="false">IF(C22="O",$G$7,0)+IF(D22="O",$G$8,0)+IF(E22="O",$G$9,0)+IF(F22="O",$G$10,0)+IF(G22="O",$G$11,0)+IF(H22="O",$G$12,0)</f>
        <v>0</v>
      </c>
      <c r="J22" s="12" t="n">
        <f aca="false">IF(B22="",0,SUMIF($E$7:$E$12,B22,$D$7:$D$12))</f>
        <v>0</v>
      </c>
      <c r="K22" s="17" t="n">
        <f aca="false">J22-I22</f>
        <v>0</v>
      </c>
      <c r="L22" s="18" t="str">
        <f aca="false">IF(B22="","",IF(K22&gt;=1,"받을 돈 있음",IF(K22&lt;=-1,"보내야 함","정산 끝")))</f>
        <v/>
      </c>
    </row>
    <row r="23" customFormat="false" ht="15" hidden="false" customHeight="false" outlineLevel="0" collapsed="false">
      <c r="B23" s="10"/>
      <c r="C23" s="16"/>
      <c r="D23" s="16"/>
      <c r="E23" s="16"/>
      <c r="F23" s="16"/>
      <c r="G23" s="16"/>
      <c r="H23" s="16"/>
      <c r="I23" s="12" t="n">
        <f aca="false">IF(C23="O",$G$7,0)+IF(D23="O",$G$8,0)+IF(E23="O",$G$9,0)+IF(F23="O",$G$10,0)+IF(G23="O",$G$11,0)+IF(H23="O",$G$12,0)</f>
        <v>0</v>
      </c>
      <c r="J23" s="12" t="n">
        <f aca="false">IF(B23="",0,SUMIF($E$7:$E$12,B23,$D$7:$D$12))</f>
        <v>0</v>
      </c>
      <c r="K23" s="17" t="n">
        <f aca="false">J23-I23</f>
        <v>0</v>
      </c>
      <c r="L23" s="18" t="str">
        <f aca="false">IF(B23="","",IF(K23&gt;=1,"받을 돈 있음",IF(K23&lt;=-1,"보내야 함","정산 끝")))</f>
        <v/>
      </c>
    </row>
    <row r="24" customFormat="false" ht="15" hidden="false" customHeight="false" outlineLevel="0" collapsed="false">
      <c r="B24" s="10"/>
      <c r="C24" s="16"/>
      <c r="D24" s="16"/>
      <c r="E24" s="16"/>
      <c r="F24" s="16"/>
      <c r="G24" s="16"/>
      <c r="H24" s="16"/>
      <c r="I24" s="12" t="n">
        <f aca="false">IF(C24="O",$G$7,0)+IF(D24="O",$G$8,0)+IF(E24="O",$G$9,0)+IF(F24="O",$G$10,0)+IF(G24="O",$G$11,0)+IF(H24="O",$G$12,0)</f>
        <v>0</v>
      </c>
      <c r="J24" s="12" t="n">
        <f aca="false">IF(B24="",0,SUMIF($E$7:$E$12,B24,$D$7:$D$12))</f>
        <v>0</v>
      </c>
      <c r="K24" s="17" t="n">
        <f aca="false">J24-I24</f>
        <v>0</v>
      </c>
      <c r="L24" s="18" t="str">
        <f aca="false">IF(B24="","",IF(K24&gt;=1,"받을 돈 있음",IF(K24&lt;=-1,"보내야 함","정산 끝")))</f>
        <v/>
      </c>
    </row>
    <row r="25" customFormat="false" ht="15" hidden="false" customHeight="false" outlineLevel="0" collapsed="false">
      <c r="B25" s="10"/>
      <c r="C25" s="16"/>
      <c r="D25" s="16"/>
      <c r="E25" s="16"/>
      <c r="F25" s="16"/>
      <c r="G25" s="16"/>
      <c r="H25" s="16"/>
      <c r="I25" s="12" t="n">
        <f aca="false">IF(C25="O",$G$7,0)+IF(D25="O",$G$8,0)+IF(E25="O",$G$9,0)+IF(F25="O",$G$10,0)+IF(G25="O",$G$11,0)+IF(H25="O",$G$12,0)</f>
        <v>0</v>
      </c>
      <c r="J25" s="12" t="n">
        <f aca="false">IF(B25="",0,SUMIF($E$7:$E$12,B25,$D$7:$D$12))</f>
        <v>0</v>
      </c>
      <c r="K25" s="17" t="n">
        <f aca="false">J25-I25</f>
        <v>0</v>
      </c>
      <c r="L25" s="18" t="str">
        <f aca="false">IF(B25="","",IF(K25&gt;=1,"받을 돈 있음",IF(K25&lt;=-1,"보내야 함","정산 끝")))</f>
        <v/>
      </c>
    </row>
    <row r="26" customFormat="false" ht="15" hidden="false" customHeight="false" outlineLevel="0" collapsed="false">
      <c r="B26" s="10"/>
      <c r="C26" s="16"/>
      <c r="D26" s="16"/>
      <c r="E26" s="16"/>
      <c r="F26" s="16"/>
      <c r="G26" s="16"/>
      <c r="H26" s="16"/>
      <c r="I26" s="12" t="n">
        <f aca="false">IF(C26="O",$G$7,0)+IF(D26="O",$G$8,0)+IF(E26="O",$G$9,0)+IF(F26="O",$G$10,0)+IF(G26="O",$G$11,0)+IF(H26="O",$G$12,0)</f>
        <v>0</v>
      </c>
      <c r="J26" s="12" t="n">
        <f aca="false">IF(B26="",0,SUMIF($E$7:$E$12,B26,$D$7:$D$12))</f>
        <v>0</v>
      </c>
      <c r="K26" s="17" t="n">
        <f aca="false">J26-I26</f>
        <v>0</v>
      </c>
      <c r="L26" s="18" t="str">
        <f aca="false">IF(B26="","",IF(K26&gt;=1,"받을 돈 있음",IF(K26&lt;=-1,"보내야 함","정산 끝")))</f>
        <v/>
      </c>
    </row>
    <row r="27" customFormat="false" ht="15" hidden="false" customHeight="false" outlineLevel="0" collapsed="false">
      <c r="B27" s="10"/>
      <c r="C27" s="16"/>
      <c r="D27" s="16"/>
      <c r="E27" s="16"/>
      <c r="F27" s="16"/>
      <c r="G27" s="16"/>
      <c r="H27" s="16"/>
      <c r="I27" s="12" t="n">
        <f aca="false">IF(C27="O",$G$7,0)+IF(D27="O",$G$8,0)+IF(E27="O",$G$9,0)+IF(F27="O",$G$10,0)+IF(G27="O",$G$11,0)+IF(H27="O",$G$12,0)</f>
        <v>0</v>
      </c>
      <c r="J27" s="12" t="n">
        <f aca="false">IF(B27="",0,SUMIF($E$7:$E$12,B27,$D$7:$D$12))</f>
        <v>0</v>
      </c>
      <c r="K27" s="17" t="n">
        <f aca="false">J27-I27</f>
        <v>0</v>
      </c>
      <c r="L27" s="18" t="str">
        <f aca="false">IF(B27="","",IF(K27&gt;=1,"받을 돈 있음",IF(K27&lt;=-1,"보내야 함","정산 끝")))</f>
        <v/>
      </c>
    </row>
    <row r="28" customFormat="false" ht="15" hidden="false" customHeight="false" outlineLevel="0" collapsed="false">
      <c r="B28" s="10"/>
      <c r="C28" s="16"/>
      <c r="D28" s="16"/>
      <c r="E28" s="16"/>
      <c r="F28" s="16"/>
      <c r="G28" s="16"/>
      <c r="H28" s="16"/>
      <c r="I28" s="12" t="n">
        <f aca="false">IF(C28="O",$G$7,0)+IF(D28="O",$G$8,0)+IF(E28="O",$G$9,0)+IF(F28="O",$G$10,0)+IF(G28="O",$G$11,0)+IF(H28="O",$G$12,0)</f>
        <v>0</v>
      </c>
      <c r="J28" s="12" t="n">
        <f aca="false">IF(B28="",0,SUMIF($E$7:$E$12,B28,$D$7:$D$12))</f>
        <v>0</v>
      </c>
      <c r="K28" s="17" t="n">
        <f aca="false">J28-I28</f>
        <v>0</v>
      </c>
      <c r="L28" s="18" t="str">
        <f aca="false">IF(B28="","",IF(K28&gt;=1,"받을 돈 있음",IF(K28&lt;=-1,"보내야 함","정산 끝")))</f>
        <v/>
      </c>
    </row>
    <row r="29" customFormat="false" ht="15" hidden="false" customHeight="false" outlineLevel="0" collapsed="false">
      <c r="B29" s="13" t="s">
        <v>21</v>
      </c>
      <c r="C29" s="14"/>
      <c r="D29" s="14"/>
      <c r="E29" s="14"/>
      <c r="F29" s="14"/>
      <c r="G29" s="14"/>
      <c r="H29" s="14"/>
      <c r="I29" s="15" t="n">
        <f aca="false">SUM(I17:I28)</f>
        <v>245000</v>
      </c>
      <c r="J29" s="15" t="n">
        <f aca="false">SUM(J17:J28)</f>
        <v>245000</v>
      </c>
      <c r="K29" s="15" t="n">
        <f aca="false">SUM(K17:K28)</f>
        <v>0</v>
      </c>
      <c r="L29" s="18" t="str">
        <f aca="false">IF(ABS(I29-D13)&lt;1,"✔ 금액 일치","⚠ 참여자 없는 차수 확인")</f>
        <v>✔ 금액 일치</v>
      </c>
    </row>
    <row r="31" customFormat="false" ht="16.4" hidden="false" customHeight="false" outlineLevel="0" collapsed="false">
      <c r="B31" s="4" t="s">
        <v>38</v>
      </c>
    </row>
    <row r="32" customFormat="false" ht="30" hidden="false" customHeight="true" outlineLevel="0" collapsed="false">
      <c r="B32" s="5" t="s">
        <v>39</v>
      </c>
      <c r="C32" s="5" t="str">
        <f aca="false">IF(B17="","",B17)</f>
        <v>민수</v>
      </c>
      <c r="D32" s="5" t="str">
        <f aca="false">IF(B18="","",B18)</f>
        <v>지영</v>
      </c>
      <c r="E32" s="5" t="str">
        <f aca="false">IF(B19="","",B19)</f>
        <v>철수</v>
      </c>
      <c r="F32" s="5" t="str">
        <f aca="false">IF(B20="","",B20)</f>
        <v>영희</v>
      </c>
      <c r="G32" s="5" t="str">
        <f aca="false">IF(B21="","",B21)</f>
        <v>준호</v>
      </c>
      <c r="H32" s="5" t="str">
        <f aca="false">IF(B22="","",B22)</f>
        <v/>
      </c>
      <c r="I32" s="5" t="str">
        <f aca="false">IF(B23="","",B23)</f>
        <v/>
      </c>
      <c r="J32" s="5" t="str">
        <f aca="false">IF(B24="","",B24)</f>
        <v/>
      </c>
      <c r="K32" s="5" t="str">
        <f aca="false">IF(B25="","",B25)</f>
        <v/>
      </c>
      <c r="L32" s="5" t="str">
        <f aca="false">IF(B26="","",B26)</f>
        <v/>
      </c>
      <c r="M32" s="5" t="str">
        <f aca="false">IF(B27="","",B27)</f>
        <v/>
      </c>
      <c r="N32" s="5" t="str">
        <f aca="false">IF(B28="","",B28)</f>
        <v/>
      </c>
      <c r="O32" s="5" t="s">
        <v>40</v>
      </c>
    </row>
    <row r="33" customFormat="false" ht="15" hidden="false" customHeight="false" outlineLevel="0" collapsed="false">
      <c r="B33" s="5" t="str">
        <f aca="false">IF(B17="","",B17)</f>
        <v>민수</v>
      </c>
      <c r="C33" s="19" t="n">
        <f aca="false">MAX(0,'계산(자동)'!B3-'계산(자동)'!B3)</f>
        <v>0</v>
      </c>
      <c r="D33" s="19" t="n">
        <f aca="false">MAX(0,'계산(자동)'!C3-'계산(자동)'!B4)</f>
        <v>0</v>
      </c>
      <c r="E33" s="19" t="n">
        <f aca="false">MAX(0,'계산(자동)'!D3-'계산(자동)'!B5)</f>
        <v>0</v>
      </c>
      <c r="F33" s="19" t="n">
        <f aca="false">MAX(0,'계산(자동)'!E3-'계산(자동)'!B6)</f>
        <v>0</v>
      </c>
      <c r="G33" s="19" t="n">
        <f aca="false">MAX(0,'계산(자동)'!F3-'계산(자동)'!B7)</f>
        <v>0</v>
      </c>
      <c r="H33" s="19" t="n">
        <f aca="false">MAX(0,'계산(자동)'!G3-'계산(자동)'!B8)</f>
        <v>0</v>
      </c>
      <c r="I33" s="19" t="n">
        <f aca="false">MAX(0,'계산(자동)'!H3-'계산(자동)'!B9)</f>
        <v>0</v>
      </c>
      <c r="J33" s="19" t="n">
        <f aca="false">MAX(0,'계산(자동)'!I3-'계산(자동)'!B10)</f>
        <v>0</v>
      </c>
      <c r="K33" s="19" t="n">
        <f aca="false">MAX(0,'계산(자동)'!J3-'계산(자동)'!B11)</f>
        <v>0</v>
      </c>
      <c r="L33" s="19" t="n">
        <f aca="false">MAX(0,'계산(자동)'!K3-'계산(자동)'!B12)</f>
        <v>0</v>
      </c>
      <c r="M33" s="19" t="n">
        <f aca="false">MAX(0,'계산(자동)'!L3-'계산(자동)'!B13)</f>
        <v>0</v>
      </c>
      <c r="N33" s="19" t="n">
        <f aca="false">MAX(0,'계산(자동)'!M3-'계산(자동)'!B14)</f>
        <v>0</v>
      </c>
      <c r="O33" s="15" t="n">
        <f aca="false">SUM(C33:N33)</f>
        <v>0</v>
      </c>
    </row>
    <row r="34" customFormat="false" ht="15" hidden="false" customHeight="false" outlineLevel="0" collapsed="false">
      <c r="B34" s="5" t="str">
        <f aca="false">IF(B18="","",B18)</f>
        <v>지영</v>
      </c>
      <c r="C34" s="19" t="n">
        <f aca="false">MAX(0,'계산(자동)'!B4-'계산(자동)'!C3)</f>
        <v>18750</v>
      </c>
      <c r="D34" s="19" t="n">
        <f aca="false">MAX(0,'계산(자동)'!C4-'계산(자동)'!C4)</f>
        <v>0</v>
      </c>
      <c r="E34" s="19" t="n">
        <f aca="false">MAX(0,'계산(자동)'!D4-'계산(자동)'!C5)</f>
        <v>0</v>
      </c>
      <c r="F34" s="19" t="n">
        <f aca="false">MAX(0,'계산(자동)'!E4-'계산(자동)'!C6)</f>
        <v>0</v>
      </c>
      <c r="G34" s="19" t="n">
        <f aca="false">MAX(0,'계산(자동)'!F4-'계산(자동)'!C7)</f>
        <v>0</v>
      </c>
      <c r="H34" s="19" t="n">
        <f aca="false">MAX(0,'계산(자동)'!G4-'계산(자동)'!C8)</f>
        <v>0</v>
      </c>
      <c r="I34" s="19" t="n">
        <f aca="false">MAX(0,'계산(자동)'!H4-'계산(자동)'!C9)</f>
        <v>0</v>
      </c>
      <c r="J34" s="19" t="n">
        <f aca="false">MAX(0,'계산(자동)'!I4-'계산(자동)'!C10)</f>
        <v>0</v>
      </c>
      <c r="K34" s="19" t="n">
        <f aca="false">MAX(0,'계산(자동)'!J4-'계산(자동)'!C11)</f>
        <v>0</v>
      </c>
      <c r="L34" s="19" t="n">
        <f aca="false">MAX(0,'계산(자동)'!K4-'계산(자동)'!C12)</f>
        <v>0</v>
      </c>
      <c r="M34" s="19" t="n">
        <f aca="false">MAX(0,'계산(자동)'!L4-'계산(자동)'!C13)</f>
        <v>0</v>
      </c>
      <c r="N34" s="19" t="n">
        <f aca="false">MAX(0,'계산(자동)'!M4-'계산(자동)'!C14)</f>
        <v>0</v>
      </c>
      <c r="O34" s="15" t="n">
        <f aca="false">SUM(C34:N34)</f>
        <v>18750</v>
      </c>
    </row>
    <row r="35" customFormat="false" ht="15" hidden="false" customHeight="false" outlineLevel="0" collapsed="false">
      <c r="B35" s="5" t="str">
        <f aca="false">IF(B19="","",B19)</f>
        <v>철수</v>
      </c>
      <c r="C35" s="19" t="n">
        <f aca="false">MAX(0,'계산(자동)'!B5-'계산(자동)'!D3)</f>
        <v>30000</v>
      </c>
      <c r="D35" s="19" t="n">
        <f aca="false">MAX(0,'계산(자동)'!C5-'계산(자동)'!D4)</f>
        <v>21250</v>
      </c>
      <c r="E35" s="19" t="n">
        <f aca="false">MAX(0,'계산(자동)'!D5-'계산(자동)'!D5)</f>
        <v>0</v>
      </c>
      <c r="F35" s="19" t="n">
        <f aca="false">MAX(0,'계산(자동)'!E5-'계산(자동)'!D6)</f>
        <v>0</v>
      </c>
      <c r="G35" s="19" t="n">
        <f aca="false">MAX(0,'계산(자동)'!F5-'계산(자동)'!D7)</f>
        <v>0</v>
      </c>
      <c r="H35" s="19" t="n">
        <f aca="false">MAX(0,'계산(자동)'!G5-'계산(자동)'!D8)</f>
        <v>0</v>
      </c>
      <c r="I35" s="19" t="n">
        <f aca="false">MAX(0,'계산(자동)'!H5-'계산(자동)'!D9)</f>
        <v>0</v>
      </c>
      <c r="J35" s="19" t="n">
        <f aca="false">MAX(0,'계산(자동)'!I5-'계산(자동)'!D10)</f>
        <v>0</v>
      </c>
      <c r="K35" s="19" t="n">
        <f aca="false">MAX(0,'계산(자동)'!J5-'계산(자동)'!D11)</f>
        <v>0</v>
      </c>
      <c r="L35" s="19" t="n">
        <f aca="false">MAX(0,'계산(자동)'!K5-'계산(자동)'!D12)</f>
        <v>0</v>
      </c>
      <c r="M35" s="19" t="n">
        <f aca="false">MAX(0,'계산(자동)'!L5-'계산(자동)'!D13)</f>
        <v>0</v>
      </c>
      <c r="N35" s="19" t="n">
        <f aca="false">MAX(0,'계산(자동)'!M5-'계산(자동)'!D14)</f>
        <v>0</v>
      </c>
      <c r="O35" s="15" t="n">
        <f aca="false">SUM(C35:N35)</f>
        <v>51250</v>
      </c>
    </row>
    <row r="36" customFormat="false" ht="15" hidden="false" customHeight="false" outlineLevel="0" collapsed="false">
      <c r="B36" s="5" t="str">
        <f aca="false">IF(B20="","",B20)</f>
        <v>영희</v>
      </c>
      <c r="C36" s="19" t="n">
        <f aca="false">MAX(0,'계산(자동)'!B6-'계산(자동)'!E3)</f>
        <v>40000</v>
      </c>
      <c r="D36" s="19" t="n">
        <f aca="false">MAX(0,'계산(자동)'!C6-'계산(자동)'!E4)</f>
        <v>0</v>
      </c>
      <c r="E36" s="19" t="n">
        <f aca="false">MAX(0,'계산(자동)'!D6-'계산(자동)'!E5)</f>
        <v>0</v>
      </c>
      <c r="F36" s="19" t="n">
        <f aca="false">MAX(0,'계산(자동)'!E6-'계산(자동)'!E6)</f>
        <v>0</v>
      </c>
      <c r="G36" s="19" t="n">
        <f aca="false">MAX(0,'계산(자동)'!F6-'계산(자동)'!E7)</f>
        <v>0</v>
      </c>
      <c r="H36" s="19" t="n">
        <f aca="false">MAX(0,'계산(자동)'!G6-'계산(자동)'!E8)</f>
        <v>0</v>
      </c>
      <c r="I36" s="19" t="n">
        <f aca="false">MAX(0,'계산(자동)'!H6-'계산(자동)'!E9)</f>
        <v>0</v>
      </c>
      <c r="J36" s="19" t="n">
        <f aca="false">MAX(0,'계산(자동)'!I6-'계산(자동)'!E10)</f>
        <v>0</v>
      </c>
      <c r="K36" s="19" t="n">
        <f aca="false">MAX(0,'계산(자동)'!J6-'계산(자동)'!E11)</f>
        <v>0</v>
      </c>
      <c r="L36" s="19" t="n">
        <f aca="false">MAX(0,'계산(자동)'!K6-'계산(자동)'!E12)</f>
        <v>0</v>
      </c>
      <c r="M36" s="19" t="n">
        <f aca="false">MAX(0,'계산(자동)'!L6-'계산(자동)'!E13)</f>
        <v>0</v>
      </c>
      <c r="N36" s="19" t="n">
        <f aca="false">MAX(0,'계산(자동)'!M6-'계산(자동)'!E14)</f>
        <v>0</v>
      </c>
      <c r="O36" s="15" t="n">
        <f aca="false">SUM(C36:N36)</f>
        <v>40000</v>
      </c>
    </row>
    <row r="37" customFormat="false" ht="15" hidden="false" customHeight="false" outlineLevel="0" collapsed="false">
      <c r="B37" s="5" t="str">
        <f aca="false">IF(B21="","",B21)</f>
        <v>준호</v>
      </c>
      <c r="C37" s="19" t="n">
        <f aca="false">MAX(0,'계산(자동)'!B7-'계산(자동)'!F3)</f>
        <v>10000</v>
      </c>
      <c r="D37" s="19" t="n">
        <f aca="false">MAX(0,'계산(자동)'!C7-'계산(자동)'!F4)</f>
        <v>21250</v>
      </c>
      <c r="E37" s="19" t="n">
        <f aca="false">MAX(0,'계산(자동)'!D7-'계산(자동)'!F5)</f>
        <v>0</v>
      </c>
      <c r="F37" s="19" t="n">
        <f aca="false">MAX(0,'계산(자동)'!E7-'계산(자동)'!F6)</f>
        <v>0</v>
      </c>
      <c r="G37" s="19" t="n">
        <f aca="false">MAX(0,'계산(자동)'!F7-'계산(자동)'!F7)</f>
        <v>0</v>
      </c>
      <c r="H37" s="19" t="n">
        <f aca="false">MAX(0,'계산(자동)'!G7-'계산(자동)'!F8)</f>
        <v>0</v>
      </c>
      <c r="I37" s="19" t="n">
        <f aca="false">MAX(0,'계산(자동)'!H7-'계산(자동)'!F9)</f>
        <v>0</v>
      </c>
      <c r="J37" s="19" t="n">
        <f aca="false">MAX(0,'계산(자동)'!I7-'계산(자동)'!F10)</f>
        <v>0</v>
      </c>
      <c r="K37" s="19" t="n">
        <f aca="false">MAX(0,'계산(자동)'!J7-'계산(자동)'!F11)</f>
        <v>0</v>
      </c>
      <c r="L37" s="19" t="n">
        <f aca="false">MAX(0,'계산(자동)'!K7-'계산(자동)'!F12)</f>
        <v>0</v>
      </c>
      <c r="M37" s="19" t="n">
        <f aca="false">MAX(0,'계산(자동)'!L7-'계산(자동)'!F13)</f>
        <v>0</v>
      </c>
      <c r="N37" s="19" t="n">
        <f aca="false">MAX(0,'계산(자동)'!M7-'계산(자동)'!F14)</f>
        <v>0</v>
      </c>
      <c r="O37" s="15" t="n">
        <f aca="false">SUM(C37:N37)</f>
        <v>31250</v>
      </c>
    </row>
    <row r="38" customFormat="false" ht="15" hidden="false" customHeight="false" outlineLevel="0" collapsed="false">
      <c r="B38" s="5" t="str">
        <f aca="false">IF(B22="","",B22)</f>
        <v/>
      </c>
      <c r="C38" s="19" t="n">
        <f aca="false">MAX(0,'계산(자동)'!B8-'계산(자동)'!G3)</f>
        <v>0</v>
      </c>
      <c r="D38" s="19" t="n">
        <f aca="false">MAX(0,'계산(자동)'!C8-'계산(자동)'!G4)</f>
        <v>0</v>
      </c>
      <c r="E38" s="19" t="n">
        <f aca="false">MAX(0,'계산(자동)'!D8-'계산(자동)'!G5)</f>
        <v>0</v>
      </c>
      <c r="F38" s="19" t="n">
        <f aca="false">MAX(0,'계산(자동)'!E8-'계산(자동)'!G6)</f>
        <v>0</v>
      </c>
      <c r="G38" s="19" t="n">
        <f aca="false">MAX(0,'계산(자동)'!F8-'계산(자동)'!G7)</f>
        <v>0</v>
      </c>
      <c r="H38" s="19" t="n">
        <f aca="false">MAX(0,'계산(자동)'!G8-'계산(자동)'!G8)</f>
        <v>0</v>
      </c>
      <c r="I38" s="19" t="n">
        <f aca="false">MAX(0,'계산(자동)'!H8-'계산(자동)'!G9)</f>
        <v>0</v>
      </c>
      <c r="J38" s="19" t="n">
        <f aca="false">MAX(0,'계산(자동)'!I8-'계산(자동)'!G10)</f>
        <v>0</v>
      </c>
      <c r="K38" s="19" t="n">
        <f aca="false">MAX(0,'계산(자동)'!J8-'계산(자동)'!G11)</f>
        <v>0</v>
      </c>
      <c r="L38" s="19" t="n">
        <f aca="false">MAX(0,'계산(자동)'!K8-'계산(자동)'!G12)</f>
        <v>0</v>
      </c>
      <c r="M38" s="19" t="n">
        <f aca="false">MAX(0,'계산(자동)'!L8-'계산(자동)'!G13)</f>
        <v>0</v>
      </c>
      <c r="N38" s="19" t="n">
        <f aca="false">MAX(0,'계산(자동)'!M8-'계산(자동)'!G14)</f>
        <v>0</v>
      </c>
      <c r="O38" s="15" t="n">
        <f aca="false">SUM(C38:N38)</f>
        <v>0</v>
      </c>
    </row>
    <row r="39" customFormat="false" ht="15" hidden="false" customHeight="false" outlineLevel="0" collapsed="false">
      <c r="B39" s="5" t="str">
        <f aca="false">IF(B23="","",B23)</f>
        <v/>
      </c>
      <c r="C39" s="19" t="n">
        <f aca="false">MAX(0,'계산(자동)'!B9-'계산(자동)'!H3)</f>
        <v>0</v>
      </c>
      <c r="D39" s="19" t="n">
        <f aca="false">MAX(0,'계산(자동)'!C9-'계산(자동)'!H4)</f>
        <v>0</v>
      </c>
      <c r="E39" s="19" t="n">
        <f aca="false">MAX(0,'계산(자동)'!D9-'계산(자동)'!H5)</f>
        <v>0</v>
      </c>
      <c r="F39" s="19" t="n">
        <f aca="false">MAX(0,'계산(자동)'!E9-'계산(자동)'!H6)</f>
        <v>0</v>
      </c>
      <c r="G39" s="19" t="n">
        <f aca="false">MAX(0,'계산(자동)'!F9-'계산(자동)'!H7)</f>
        <v>0</v>
      </c>
      <c r="H39" s="19" t="n">
        <f aca="false">MAX(0,'계산(자동)'!G9-'계산(자동)'!H8)</f>
        <v>0</v>
      </c>
      <c r="I39" s="19" t="n">
        <f aca="false">MAX(0,'계산(자동)'!H9-'계산(자동)'!H9)</f>
        <v>0</v>
      </c>
      <c r="J39" s="19" t="n">
        <f aca="false">MAX(0,'계산(자동)'!I9-'계산(자동)'!H10)</f>
        <v>0</v>
      </c>
      <c r="K39" s="19" t="n">
        <f aca="false">MAX(0,'계산(자동)'!J9-'계산(자동)'!H11)</f>
        <v>0</v>
      </c>
      <c r="L39" s="19" t="n">
        <f aca="false">MAX(0,'계산(자동)'!K9-'계산(자동)'!H12)</f>
        <v>0</v>
      </c>
      <c r="M39" s="19" t="n">
        <f aca="false">MAX(0,'계산(자동)'!L9-'계산(자동)'!H13)</f>
        <v>0</v>
      </c>
      <c r="N39" s="19" t="n">
        <f aca="false">MAX(0,'계산(자동)'!M9-'계산(자동)'!H14)</f>
        <v>0</v>
      </c>
      <c r="O39" s="15" t="n">
        <f aca="false">SUM(C39:N39)</f>
        <v>0</v>
      </c>
    </row>
    <row r="40" customFormat="false" ht="15" hidden="false" customHeight="false" outlineLevel="0" collapsed="false">
      <c r="B40" s="5" t="str">
        <f aca="false">IF(B24="","",B24)</f>
        <v/>
      </c>
      <c r="C40" s="19" t="n">
        <f aca="false">MAX(0,'계산(자동)'!B10-'계산(자동)'!I3)</f>
        <v>0</v>
      </c>
      <c r="D40" s="19" t="n">
        <f aca="false">MAX(0,'계산(자동)'!C10-'계산(자동)'!I4)</f>
        <v>0</v>
      </c>
      <c r="E40" s="19" t="n">
        <f aca="false">MAX(0,'계산(자동)'!D10-'계산(자동)'!I5)</f>
        <v>0</v>
      </c>
      <c r="F40" s="19" t="n">
        <f aca="false">MAX(0,'계산(자동)'!E10-'계산(자동)'!I6)</f>
        <v>0</v>
      </c>
      <c r="G40" s="19" t="n">
        <f aca="false">MAX(0,'계산(자동)'!F10-'계산(자동)'!I7)</f>
        <v>0</v>
      </c>
      <c r="H40" s="19" t="n">
        <f aca="false">MAX(0,'계산(자동)'!G10-'계산(자동)'!I8)</f>
        <v>0</v>
      </c>
      <c r="I40" s="19" t="n">
        <f aca="false">MAX(0,'계산(자동)'!H10-'계산(자동)'!I9)</f>
        <v>0</v>
      </c>
      <c r="J40" s="19" t="n">
        <f aca="false">MAX(0,'계산(자동)'!I10-'계산(자동)'!I10)</f>
        <v>0</v>
      </c>
      <c r="K40" s="19" t="n">
        <f aca="false">MAX(0,'계산(자동)'!J10-'계산(자동)'!I11)</f>
        <v>0</v>
      </c>
      <c r="L40" s="19" t="n">
        <f aca="false">MAX(0,'계산(자동)'!K10-'계산(자동)'!I12)</f>
        <v>0</v>
      </c>
      <c r="M40" s="19" t="n">
        <f aca="false">MAX(0,'계산(자동)'!L10-'계산(자동)'!I13)</f>
        <v>0</v>
      </c>
      <c r="N40" s="19" t="n">
        <f aca="false">MAX(0,'계산(자동)'!M10-'계산(자동)'!I14)</f>
        <v>0</v>
      </c>
      <c r="O40" s="15" t="n">
        <f aca="false">SUM(C40:N40)</f>
        <v>0</v>
      </c>
    </row>
    <row r="41" customFormat="false" ht="15" hidden="false" customHeight="false" outlineLevel="0" collapsed="false">
      <c r="B41" s="5" t="str">
        <f aca="false">IF(B25="","",B25)</f>
        <v/>
      </c>
      <c r="C41" s="19" t="n">
        <f aca="false">MAX(0,'계산(자동)'!B11-'계산(자동)'!J3)</f>
        <v>0</v>
      </c>
      <c r="D41" s="19" t="n">
        <f aca="false">MAX(0,'계산(자동)'!C11-'계산(자동)'!J4)</f>
        <v>0</v>
      </c>
      <c r="E41" s="19" t="n">
        <f aca="false">MAX(0,'계산(자동)'!D11-'계산(자동)'!J5)</f>
        <v>0</v>
      </c>
      <c r="F41" s="19" t="n">
        <f aca="false">MAX(0,'계산(자동)'!E11-'계산(자동)'!J6)</f>
        <v>0</v>
      </c>
      <c r="G41" s="19" t="n">
        <f aca="false">MAX(0,'계산(자동)'!F11-'계산(자동)'!J7)</f>
        <v>0</v>
      </c>
      <c r="H41" s="19" t="n">
        <f aca="false">MAX(0,'계산(자동)'!G11-'계산(자동)'!J8)</f>
        <v>0</v>
      </c>
      <c r="I41" s="19" t="n">
        <f aca="false">MAX(0,'계산(자동)'!H11-'계산(자동)'!J9)</f>
        <v>0</v>
      </c>
      <c r="J41" s="19" t="n">
        <f aca="false">MAX(0,'계산(자동)'!I11-'계산(자동)'!J10)</f>
        <v>0</v>
      </c>
      <c r="K41" s="19" t="n">
        <f aca="false">MAX(0,'계산(자동)'!J11-'계산(자동)'!J11)</f>
        <v>0</v>
      </c>
      <c r="L41" s="19" t="n">
        <f aca="false">MAX(0,'계산(자동)'!K11-'계산(자동)'!J12)</f>
        <v>0</v>
      </c>
      <c r="M41" s="19" t="n">
        <f aca="false">MAX(0,'계산(자동)'!L11-'계산(자동)'!J13)</f>
        <v>0</v>
      </c>
      <c r="N41" s="19" t="n">
        <f aca="false">MAX(0,'계산(자동)'!M11-'계산(자동)'!J14)</f>
        <v>0</v>
      </c>
      <c r="O41" s="15" t="n">
        <f aca="false">SUM(C41:N41)</f>
        <v>0</v>
      </c>
    </row>
    <row r="42" customFormat="false" ht="15" hidden="false" customHeight="false" outlineLevel="0" collapsed="false">
      <c r="B42" s="5" t="str">
        <f aca="false">IF(B26="","",B26)</f>
        <v/>
      </c>
      <c r="C42" s="19" t="n">
        <f aca="false">MAX(0,'계산(자동)'!B12-'계산(자동)'!K3)</f>
        <v>0</v>
      </c>
      <c r="D42" s="19" t="n">
        <f aca="false">MAX(0,'계산(자동)'!C12-'계산(자동)'!K4)</f>
        <v>0</v>
      </c>
      <c r="E42" s="19" t="n">
        <f aca="false">MAX(0,'계산(자동)'!D12-'계산(자동)'!K5)</f>
        <v>0</v>
      </c>
      <c r="F42" s="19" t="n">
        <f aca="false">MAX(0,'계산(자동)'!E12-'계산(자동)'!K6)</f>
        <v>0</v>
      </c>
      <c r="G42" s="19" t="n">
        <f aca="false">MAX(0,'계산(자동)'!F12-'계산(자동)'!K7)</f>
        <v>0</v>
      </c>
      <c r="H42" s="19" t="n">
        <f aca="false">MAX(0,'계산(자동)'!G12-'계산(자동)'!K8)</f>
        <v>0</v>
      </c>
      <c r="I42" s="19" t="n">
        <f aca="false">MAX(0,'계산(자동)'!H12-'계산(자동)'!K9)</f>
        <v>0</v>
      </c>
      <c r="J42" s="19" t="n">
        <f aca="false">MAX(0,'계산(자동)'!I12-'계산(자동)'!K10)</f>
        <v>0</v>
      </c>
      <c r="K42" s="19" t="n">
        <f aca="false">MAX(0,'계산(자동)'!J12-'계산(자동)'!K11)</f>
        <v>0</v>
      </c>
      <c r="L42" s="19" t="n">
        <f aca="false">MAX(0,'계산(자동)'!K12-'계산(자동)'!K12)</f>
        <v>0</v>
      </c>
      <c r="M42" s="19" t="n">
        <f aca="false">MAX(0,'계산(자동)'!L12-'계산(자동)'!K13)</f>
        <v>0</v>
      </c>
      <c r="N42" s="19" t="n">
        <f aca="false">MAX(0,'계산(자동)'!M12-'계산(자동)'!K14)</f>
        <v>0</v>
      </c>
      <c r="O42" s="15" t="n">
        <f aca="false">SUM(C42:N42)</f>
        <v>0</v>
      </c>
    </row>
    <row r="43" customFormat="false" ht="15" hidden="false" customHeight="false" outlineLevel="0" collapsed="false">
      <c r="B43" s="5" t="str">
        <f aca="false">IF(B27="","",B27)</f>
        <v/>
      </c>
      <c r="C43" s="19" t="n">
        <f aca="false">MAX(0,'계산(자동)'!B13-'계산(자동)'!L3)</f>
        <v>0</v>
      </c>
      <c r="D43" s="19" t="n">
        <f aca="false">MAX(0,'계산(자동)'!C13-'계산(자동)'!L4)</f>
        <v>0</v>
      </c>
      <c r="E43" s="19" t="n">
        <f aca="false">MAX(0,'계산(자동)'!D13-'계산(자동)'!L5)</f>
        <v>0</v>
      </c>
      <c r="F43" s="19" t="n">
        <f aca="false">MAX(0,'계산(자동)'!E13-'계산(자동)'!L6)</f>
        <v>0</v>
      </c>
      <c r="G43" s="19" t="n">
        <f aca="false">MAX(0,'계산(자동)'!F13-'계산(자동)'!L7)</f>
        <v>0</v>
      </c>
      <c r="H43" s="19" t="n">
        <f aca="false">MAX(0,'계산(자동)'!G13-'계산(자동)'!L8)</f>
        <v>0</v>
      </c>
      <c r="I43" s="19" t="n">
        <f aca="false">MAX(0,'계산(자동)'!H13-'계산(자동)'!L9)</f>
        <v>0</v>
      </c>
      <c r="J43" s="19" t="n">
        <f aca="false">MAX(0,'계산(자동)'!I13-'계산(자동)'!L10)</f>
        <v>0</v>
      </c>
      <c r="K43" s="19" t="n">
        <f aca="false">MAX(0,'계산(자동)'!J13-'계산(자동)'!L11)</f>
        <v>0</v>
      </c>
      <c r="L43" s="19" t="n">
        <f aca="false">MAX(0,'계산(자동)'!K13-'계산(자동)'!L12)</f>
        <v>0</v>
      </c>
      <c r="M43" s="19" t="n">
        <f aca="false">MAX(0,'계산(자동)'!L13-'계산(자동)'!L13)</f>
        <v>0</v>
      </c>
      <c r="N43" s="19" t="n">
        <f aca="false">MAX(0,'계산(자동)'!M13-'계산(자동)'!L14)</f>
        <v>0</v>
      </c>
      <c r="O43" s="15" t="n">
        <f aca="false">SUM(C43:N43)</f>
        <v>0</v>
      </c>
    </row>
    <row r="44" customFormat="false" ht="15" hidden="false" customHeight="false" outlineLevel="0" collapsed="false">
      <c r="B44" s="5" t="str">
        <f aca="false">IF(B28="","",B28)</f>
        <v/>
      </c>
      <c r="C44" s="19" t="n">
        <f aca="false">MAX(0,'계산(자동)'!B14-'계산(자동)'!M3)</f>
        <v>0</v>
      </c>
      <c r="D44" s="19" t="n">
        <f aca="false">MAX(0,'계산(자동)'!C14-'계산(자동)'!M4)</f>
        <v>0</v>
      </c>
      <c r="E44" s="19" t="n">
        <f aca="false">MAX(0,'계산(자동)'!D14-'계산(자동)'!M5)</f>
        <v>0</v>
      </c>
      <c r="F44" s="19" t="n">
        <f aca="false">MAX(0,'계산(자동)'!E14-'계산(자동)'!M6)</f>
        <v>0</v>
      </c>
      <c r="G44" s="19" t="n">
        <f aca="false">MAX(0,'계산(자동)'!F14-'계산(자동)'!M7)</f>
        <v>0</v>
      </c>
      <c r="H44" s="19" t="n">
        <f aca="false">MAX(0,'계산(자동)'!G14-'계산(자동)'!M8)</f>
        <v>0</v>
      </c>
      <c r="I44" s="19" t="n">
        <f aca="false">MAX(0,'계산(자동)'!H14-'계산(자동)'!M9)</f>
        <v>0</v>
      </c>
      <c r="J44" s="19" t="n">
        <f aca="false">MAX(0,'계산(자동)'!I14-'계산(자동)'!M10)</f>
        <v>0</v>
      </c>
      <c r="K44" s="19" t="n">
        <f aca="false">MAX(0,'계산(자동)'!J14-'계산(자동)'!M11)</f>
        <v>0</v>
      </c>
      <c r="L44" s="19" t="n">
        <f aca="false">MAX(0,'계산(자동)'!K14-'계산(자동)'!M12)</f>
        <v>0</v>
      </c>
      <c r="M44" s="19" t="n">
        <f aca="false">MAX(0,'계산(자동)'!L14-'계산(자동)'!M13)</f>
        <v>0</v>
      </c>
      <c r="N44" s="19" t="n">
        <f aca="false">MAX(0,'계산(자동)'!M14-'계산(자동)'!M14)</f>
        <v>0</v>
      </c>
      <c r="O44" s="15" t="n">
        <f aca="false">SUM(C44:N44)</f>
        <v>0</v>
      </c>
    </row>
  </sheetData>
  <conditionalFormatting sqref="C33:N44">
    <cfRule type="cellIs" priority="2" operator="greaterThan" aboveAverage="0" equalAverage="0" bottom="0" percent="0" rank="0" text="" dxfId="0">
      <formula>0</formula>
    </cfRule>
  </conditionalFormatting>
  <conditionalFormatting sqref="K17:K28">
    <cfRule type="cellIs" priority="3" operator="lessThan" aboveAverage="0" equalAverage="0" bottom="0" percent="0" rank="0" text="" dxfId="1">
      <formula>-0.5</formula>
    </cfRule>
    <cfRule type="cellIs" priority="4" operator="greaterThan" aboveAverage="0" equalAverage="0" bottom="0" percent="0" rank="0" text="" dxfId="2">
      <formula>0.5</formula>
    </cfRule>
  </conditionalFormatting>
  <dataValidations count="2">
    <dataValidation allowBlank="true" errorStyle="stop" operator="between" showDropDown="false" showErrorMessage="false" showInputMessage="false" sqref="E7:E12" type="list">
      <formula1>$B$17:$B$28</formula1>
      <formula2>0</formula2>
    </dataValidation>
    <dataValidation allowBlank="true" errorStyle="stop" operator="between" showDropDown="false" showErrorMessage="false" showInputMessage="false" sqref="C17:H28" type="list">
      <formula1>"O"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41</v>
      </c>
    </row>
    <row r="2" customFormat="false" ht="15" hidden="false" customHeight="false" outlineLevel="0" collapsed="false">
      <c r="B2" s="21" t="str">
        <f aca="false">정산!B17</f>
        <v>민수</v>
      </c>
      <c r="C2" s="21" t="str">
        <f aca="false">정산!B18</f>
        <v>지영</v>
      </c>
      <c r="D2" s="21" t="str">
        <f aca="false">정산!B19</f>
        <v>철수</v>
      </c>
      <c r="E2" s="21" t="str">
        <f aca="false">정산!B20</f>
        <v>영희</v>
      </c>
      <c r="F2" s="21" t="str">
        <f aca="false">정산!B21</f>
        <v>준호</v>
      </c>
      <c r="G2" s="21" t="n">
        <f aca="false">정산!B22</f>
        <v>0</v>
      </c>
      <c r="H2" s="21" t="n">
        <f aca="false">정산!B23</f>
        <v>0</v>
      </c>
      <c r="I2" s="21" t="n">
        <f aca="false">정산!B24</f>
        <v>0</v>
      </c>
      <c r="J2" s="21" t="n">
        <f aca="false">정산!B25</f>
        <v>0</v>
      </c>
      <c r="K2" s="21" t="n">
        <f aca="false">정산!B26</f>
        <v>0</v>
      </c>
      <c r="L2" s="21" t="n">
        <f aca="false">정산!B27</f>
        <v>0</v>
      </c>
      <c r="M2" s="21" t="n">
        <f aca="false">정산!B28</f>
        <v>0</v>
      </c>
    </row>
    <row r="3" customFormat="false" ht="15" hidden="false" customHeight="false" outlineLevel="0" collapsed="false">
      <c r="A3" s="21" t="str">
        <f aca="false">정산!B17</f>
        <v>민수</v>
      </c>
      <c r="B3" s="22" t="n">
        <f aca="false">IF(OR($A3=0,B$2=0,$A3=B$2),0,(정산!$E$7=B$2)*(정산!$C$17="O")*정산!$G$7+(정산!$E$8=B$2)*(정산!$D$17="O")*정산!$G$8+(정산!$E$9=B$2)*(정산!$E$17="O")*정산!$G$9+(정산!$E$10=B$2)*(정산!$F$17="O")*정산!$G$10+(정산!$E$11=B$2)*(정산!$G$17="O")*정산!$G$11+(정산!$E$12=B$2)*(정산!$H$17="O")*정산!$G$12)</f>
        <v>0</v>
      </c>
      <c r="C3" s="22" t="n">
        <f aca="false">IF(OR($A3=0,C$2=0,$A3=C$2),0,(정산!$E$7=C$2)*(정산!$C$17="O")*정산!$G$7+(정산!$E$8=C$2)*(정산!$D$17="O")*정산!$G$8+(정산!$E$9=C$2)*(정산!$E$17="O")*정산!$G$9+(정산!$E$10=C$2)*(정산!$F$17="O")*정산!$G$10+(정산!$E$11=C$2)*(정산!$G$17="O")*정산!$G$11+(정산!$E$12=C$2)*(정산!$H$17="O")*정산!$G$12)</f>
        <v>21250</v>
      </c>
      <c r="D3" s="22" t="n">
        <f aca="false">IF(OR($A3=0,D$2=0,$A3=D$2),0,(정산!$E$7=D$2)*(정산!$C$17="O")*정산!$G$7+(정산!$E$8=D$2)*(정산!$D$17="O")*정산!$G$8+(정산!$E$9=D$2)*(정산!$E$17="O")*정산!$G$9+(정산!$E$10=D$2)*(정산!$F$17="O")*정산!$G$10+(정산!$E$11=D$2)*(정산!$G$17="O")*정산!$G$11+(정산!$E$12=D$2)*(정산!$H$17="O")*정산!$G$12)</f>
        <v>0</v>
      </c>
      <c r="E3" s="22" t="n">
        <f aca="false">IF(OR($A3=0,E$2=0,$A3=E$2),0,(정산!$E$7=E$2)*(정산!$C$17="O")*정산!$G$7+(정산!$E$8=E$2)*(정산!$D$17="O")*정산!$G$8+(정산!$E$9=E$2)*(정산!$E$17="O")*정산!$G$9+(정산!$E$10=E$2)*(정산!$F$17="O")*정산!$G$10+(정산!$E$11=E$2)*(정산!$G$17="O")*정산!$G$11+(정산!$E$12=E$2)*(정산!$H$17="O")*정산!$G$12)</f>
        <v>0</v>
      </c>
      <c r="F3" s="22" t="n">
        <f aca="false">IF(OR($A3=0,F$2=0,$A3=F$2),0,(정산!$E$7=F$2)*(정산!$C$17="O")*정산!$G$7+(정산!$E$8=F$2)*(정산!$D$17="O")*정산!$G$8+(정산!$E$9=F$2)*(정산!$E$17="O")*정산!$G$9+(정산!$E$10=F$2)*(정산!$F$17="O")*정산!$G$10+(정산!$E$11=F$2)*(정산!$G$17="O")*정산!$G$11+(정산!$E$12=F$2)*(정산!$H$17="O")*정산!$G$12)</f>
        <v>0</v>
      </c>
      <c r="G3" s="22" t="n">
        <f aca="false">IF(OR($A3=0,G$2=0,$A3=G$2),0,(정산!$E$7=G$2)*(정산!$C$17="O")*정산!$G$7+(정산!$E$8=G$2)*(정산!$D$17="O")*정산!$G$8+(정산!$E$9=G$2)*(정산!$E$17="O")*정산!$G$9+(정산!$E$10=G$2)*(정산!$F$17="O")*정산!$G$10+(정산!$E$11=G$2)*(정산!$G$17="O")*정산!$G$11+(정산!$E$12=G$2)*(정산!$H$17="O")*정산!$G$12)</f>
        <v>0</v>
      </c>
      <c r="H3" s="22" t="n">
        <f aca="false">IF(OR($A3=0,H$2=0,$A3=H$2),0,(정산!$E$7=H$2)*(정산!$C$17="O")*정산!$G$7+(정산!$E$8=H$2)*(정산!$D$17="O")*정산!$G$8+(정산!$E$9=H$2)*(정산!$E$17="O")*정산!$G$9+(정산!$E$10=H$2)*(정산!$F$17="O")*정산!$G$10+(정산!$E$11=H$2)*(정산!$G$17="O")*정산!$G$11+(정산!$E$12=H$2)*(정산!$H$17="O")*정산!$G$12)</f>
        <v>0</v>
      </c>
      <c r="I3" s="22" t="n">
        <f aca="false">IF(OR($A3=0,I$2=0,$A3=I$2),0,(정산!$E$7=I$2)*(정산!$C$17="O")*정산!$G$7+(정산!$E$8=I$2)*(정산!$D$17="O")*정산!$G$8+(정산!$E$9=I$2)*(정산!$E$17="O")*정산!$G$9+(정산!$E$10=I$2)*(정산!$F$17="O")*정산!$G$10+(정산!$E$11=I$2)*(정산!$G$17="O")*정산!$G$11+(정산!$E$12=I$2)*(정산!$H$17="O")*정산!$G$12)</f>
        <v>0</v>
      </c>
      <c r="J3" s="22" t="n">
        <f aca="false">IF(OR($A3=0,J$2=0,$A3=J$2),0,(정산!$E$7=J$2)*(정산!$C$17="O")*정산!$G$7+(정산!$E$8=J$2)*(정산!$D$17="O")*정산!$G$8+(정산!$E$9=J$2)*(정산!$E$17="O")*정산!$G$9+(정산!$E$10=J$2)*(정산!$F$17="O")*정산!$G$10+(정산!$E$11=J$2)*(정산!$G$17="O")*정산!$G$11+(정산!$E$12=J$2)*(정산!$H$17="O")*정산!$G$12)</f>
        <v>0</v>
      </c>
      <c r="K3" s="22" t="n">
        <f aca="false">IF(OR($A3=0,K$2=0,$A3=K$2),0,(정산!$E$7=K$2)*(정산!$C$17="O")*정산!$G$7+(정산!$E$8=K$2)*(정산!$D$17="O")*정산!$G$8+(정산!$E$9=K$2)*(정산!$E$17="O")*정산!$G$9+(정산!$E$10=K$2)*(정산!$F$17="O")*정산!$G$10+(정산!$E$11=K$2)*(정산!$G$17="O")*정산!$G$11+(정산!$E$12=K$2)*(정산!$H$17="O")*정산!$G$12)</f>
        <v>0</v>
      </c>
      <c r="L3" s="22" t="n">
        <f aca="false">IF(OR($A3=0,L$2=0,$A3=L$2),0,(정산!$E$7=L$2)*(정산!$C$17="O")*정산!$G$7+(정산!$E$8=L$2)*(정산!$D$17="O")*정산!$G$8+(정산!$E$9=L$2)*(정산!$E$17="O")*정산!$G$9+(정산!$E$10=L$2)*(정산!$F$17="O")*정산!$G$10+(정산!$E$11=L$2)*(정산!$G$17="O")*정산!$G$11+(정산!$E$12=L$2)*(정산!$H$17="O")*정산!$G$12)</f>
        <v>0</v>
      </c>
      <c r="M3" s="22" t="n">
        <f aca="false">IF(OR($A3=0,M$2=0,$A3=M$2),0,(정산!$E$7=M$2)*(정산!$C$17="O")*정산!$G$7+(정산!$E$8=M$2)*(정산!$D$17="O")*정산!$G$8+(정산!$E$9=M$2)*(정산!$E$17="O")*정산!$G$9+(정산!$E$10=M$2)*(정산!$F$17="O")*정산!$G$10+(정산!$E$11=M$2)*(정산!$G$17="O")*정산!$G$11+(정산!$E$12=M$2)*(정산!$H$17="O")*정산!$G$12)</f>
        <v>0</v>
      </c>
    </row>
    <row r="4" customFormat="false" ht="15" hidden="false" customHeight="false" outlineLevel="0" collapsed="false">
      <c r="A4" s="21" t="str">
        <f aca="false">정산!B18</f>
        <v>지영</v>
      </c>
      <c r="B4" s="22" t="n">
        <f aca="false">IF(OR($A4=0,B$2=0,$A4=B$2),0,(정산!$E$7=B$2)*(정산!$C$18="O")*정산!$G$7+(정산!$E$8=B$2)*(정산!$D$18="O")*정산!$G$8+(정산!$E$9=B$2)*(정산!$E$18="O")*정산!$G$9+(정산!$E$10=B$2)*(정산!$F$18="O")*정산!$G$10+(정산!$E$11=B$2)*(정산!$G$18="O")*정산!$G$11+(정산!$E$12=B$2)*(정산!$H$18="O")*정산!$G$12)</f>
        <v>40000</v>
      </c>
      <c r="C4" s="22" t="n">
        <f aca="false">IF(OR($A4=0,C$2=0,$A4=C$2),0,(정산!$E$7=C$2)*(정산!$C$18="O")*정산!$G$7+(정산!$E$8=C$2)*(정산!$D$18="O")*정산!$G$8+(정산!$E$9=C$2)*(정산!$E$18="O")*정산!$G$9+(정산!$E$10=C$2)*(정산!$F$18="O")*정산!$G$10+(정산!$E$11=C$2)*(정산!$G$18="O")*정산!$G$11+(정산!$E$12=C$2)*(정산!$H$18="O")*정산!$G$12)</f>
        <v>0</v>
      </c>
      <c r="D4" s="22" t="n">
        <f aca="false">IF(OR($A4=0,D$2=0,$A4=D$2),0,(정산!$E$7=D$2)*(정산!$C$18="O")*정산!$G$7+(정산!$E$8=D$2)*(정산!$D$18="O")*정산!$G$8+(정산!$E$9=D$2)*(정산!$E$18="O")*정산!$G$9+(정산!$E$10=D$2)*(정산!$F$18="O")*정산!$G$10+(정산!$E$11=D$2)*(정산!$G$18="O")*정산!$G$11+(정산!$E$12=D$2)*(정산!$H$18="O")*정산!$G$12)</f>
        <v>0</v>
      </c>
      <c r="E4" s="22" t="n">
        <f aca="false">IF(OR($A4=0,E$2=0,$A4=E$2),0,(정산!$E$7=E$2)*(정산!$C$18="O")*정산!$G$7+(정산!$E$8=E$2)*(정산!$D$18="O")*정산!$G$8+(정산!$E$9=E$2)*(정산!$E$18="O")*정산!$G$9+(정산!$E$10=E$2)*(정산!$F$18="O")*정산!$G$10+(정산!$E$11=E$2)*(정산!$G$18="O")*정산!$G$11+(정산!$E$12=E$2)*(정산!$H$18="O")*정산!$G$12)</f>
        <v>0</v>
      </c>
      <c r="F4" s="22" t="n">
        <f aca="false">IF(OR($A4=0,F$2=0,$A4=F$2),0,(정산!$E$7=F$2)*(정산!$C$18="O")*정산!$G$7+(정산!$E$8=F$2)*(정산!$D$18="O")*정산!$G$8+(정산!$E$9=F$2)*(정산!$E$18="O")*정산!$G$9+(정산!$E$10=F$2)*(정산!$F$18="O")*정산!$G$10+(정산!$E$11=F$2)*(정산!$G$18="O")*정산!$G$11+(정산!$E$12=F$2)*(정산!$H$18="O")*정산!$G$12)</f>
        <v>0</v>
      </c>
      <c r="G4" s="22" t="n">
        <f aca="false">IF(OR($A4=0,G$2=0,$A4=G$2),0,(정산!$E$7=G$2)*(정산!$C$18="O")*정산!$G$7+(정산!$E$8=G$2)*(정산!$D$18="O")*정산!$G$8+(정산!$E$9=G$2)*(정산!$E$18="O")*정산!$G$9+(정산!$E$10=G$2)*(정산!$F$18="O")*정산!$G$10+(정산!$E$11=G$2)*(정산!$G$18="O")*정산!$G$11+(정산!$E$12=G$2)*(정산!$H$18="O")*정산!$G$12)</f>
        <v>0</v>
      </c>
      <c r="H4" s="22" t="n">
        <f aca="false">IF(OR($A4=0,H$2=0,$A4=H$2),0,(정산!$E$7=H$2)*(정산!$C$18="O")*정산!$G$7+(정산!$E$8=H$2)*(정산!$D$18="O")*정산!$G$8+(정산!$E$9=H$2)*(정산!$E$18="O")*정산!$G$9+(정산!$E$10=H$2)*(정산!$F$18="O")*정산!$G$10+(정산!$E$11=H$2)*(정산!$G$18="O")*정산!$G$11+(정산!$E$12=H$2)*(정산!$H$18="O")*정산!$G$12)</f>
        <v>0</v>
      </c>
      <c r="I4" s="22" t="n">
        <f aca="false">IF(OR($A4=0,I$2=0,$A4=I$2),0,(정산!$E$7=I$2)*(정산!$C$18="O")*정산!$G$7+(정산!$E$8=I$2)*(정산!$D$18="O")*정산!$G$8+(정산!$E$9=I$2)*(정산!$E$18="O")*정산!$G$9+(정산!$E$10=I$2)*(정산!$F$18="O")*정산!$G$10+(정산!$E$11=I$2)*(정산!$G$18="O")*정산!$G$11+(정산!$E$12=I$2)*(정산!$H$18="O")*정산!$G$12)</f>
        <v>0</v>
      </c>
      <c r="J4" s="22" t="n">
        <f aca="false">IF(OR($A4=0,J$2=0,$A4=J$2),0,(정산!$E$7=J$2)*(정산!$C$18="O")*정산!$G$7+(정산!$E$8=J$2)*(정산!$D$18="O")*정산!$G$8+(정산!$E$9=J$2)*(정산!$E$18="O")*정산!$G$9+(정산!$E$10=J$2)*(정산!$F$18="O")*정산!$G$10+(정산!$E$11=J$2)*(정산!$G$18="O")*정산!$G$11+(정산!$E$12=J$2)*(정산!$H$18="O")*정산!$G$12)</f>
        <v>0</v>
      </c>
      <c r="K4" s="22" t="n">
        <f aca="false">IF(OR($A4=0,K$2=0,$A4=K$2),0,(정산!$E$7=K$2)*(정산!$C$18="O")*정산!$G$7+(정산!$E$8=K$2)*(정산!$D$18="O")*정산!$G$8+(정산!$E$9=K$2)*(정산!$E$18="O")*정산!$G$9+(정산!$E$10=K$2)*(정산!$F$18="O")*정산!$G$10+(정산!$E$11=K$2)*(정산!$G$18="O")*정산!$G$11+(정산!$E$12=K$2)*(정산!$H$18="O")*정산!$G$12)</f>
        <v>0</v>
      </c>
      <c r="L4" s="22" t="n">
        <f aca="false">IF(OR($A4=0,L$2=0,$A4=L$2),0,(정산!$E$7=L$2)*(정산!$C$18="O")*정산!$G$7+(정산!$E$8=L$2)*(정산!$D$18="O")*정산!$G$8+(정산!$E$9=L$2)*(정산!$E$18="O")*정산!$G$9+(정산!$E$10=L$2)*(정산!$F$18="O")*정산!$G$10+(정산!$E$11=L$2)*(정산!$G$18="O")*정산!$G$11+(정산!$E$12=L$2)*(정산!$H$18="O")*정산!$G$12)</f>
        <v>0</v>
      </c>
      <c r="M4" s="22" t="n">
        <f aca="false">IF(OR($A4=0,M$2=0,$A4=M$2),0,(정산!$E$7=M$2)*(정산!$C$18="O")*정산!$G$7+(정산!$E$8=M$2)*(정산!$D$18="O")*정산!$G$8+(정산!$E$9=M$2)*(정산!$E$18="O")*정산!$G$9+(정산!$E$10=M$2)*(정산!$F$18="O")*정산!$G$10+(정산!$E$11=M$2)*(정산!$G$18="O")*정산!$G$11+(정산!$E$12=M$2)*(정산!$H$18="O")*정산!$G$12)</f>
        <v>0</v>
      </c>
    </row>
    <row r="5" customFormat="false" ht="15" hidden="false" customHeight="false" outlineLevel="0" collapsed="false">
      <c r="A5" s="21" t="str">
        <f aca="false">정산!B19</f>
        <v>철수</v>
      </c>
      <c r="B5" s="22" t="n">
        <f aca="false">IF(OR($A5=0,B$2=0,$A5=B$2),0,(정산!$E$7=B$2)*(정산!$C$19="O")*정산!$G$7+(정산!$E$8=B$2)*(정산!$D$19="O")*정산!$G$8+(정산!$E$9=B$2)*(정산!$E$19="O")*정산!$G$9+(정산!$E$10=B$2)*(정산!$F$19="O")*정산!$G$10+(정산!$E$11=B$2)*(정산!$G$19="O")*정산!$G$11+(정산!$E$12=B$2)*(정산!$H$19="O")*정산!$G$12)</f>
        <v>30000</v>
      </c>
      <c r="C5" s="22" t="n">
        <f aca="false">IF(OR($A5=0,C$2=0,$A5=C$2),0,(정산!$E$7=C$2)*(정산!$C$19="O")*정산!$G$7+(정산!$E$8=C$2)*(정산!$D$19="O")*정산!$G$8+(정산!$E$9=C$2)*(정산!$E$19="O")*정산!$G$9+(정산!$E$10=C$2)*(정산!$F$19="O")*정산!$G$10+(정산!$E$11=C$2)*(정산!$G$19="O")*정산!$G$11+(정산!$E$12=C$2)*(정산!$H$19="O")*정산!$G$12)</f>
        <v>21250</v>
      </c>
      <c r="D5" s="22" t="n">
        <f aca="false">IF(OR($A5=0,D$2=0,$A5=D$2),0,(정산!$E$7=D$2)*(정산!$C$19="O")*정산!$G$7+(정산!$E$8=D$2)*(정산!$D$19="O")*정산!$G$8+(정산!$E$9=D$2)*(정산!$E$19="O")*정산!$G$9+(정산!$E$10=D$2)*(정산!$F$19="O")*정산!$G$10+(정산!$E$11=D$2)*(정산!$G$19="O")*정산!$G$11+(정산!$E$12=D$2)*(정산!$H$19="O")*정산!$G$12)</f>
        <v>0</v>
      </c>
      <c r="E5" s="22" t="n">
        <f aca="false">IF(OR($A5=0,E$2=0,$A5=E$2),0,(정산!$E$7=E$2)*(정산!$C$19="O")*정산!$G$7+(정산!$E$8=E$2)*(정산!$D$19="O")*정산!$G$8+(정산!$E$9=E$2)*(정산!$E$19="O")*정산!$G$9+(정산!$E$10=E$2)*(정산!$F$19="O")*정산!$G$10+(정산!$E$11=E$2)*(정산!$G$19="O")*정산!$G$11+(정산!$E$12=E$2)*(정산!$H$19="O")*정산!$G$12)</f>
        <v>0</v>
      </c>
      <c r="F5" s="22" t="n">
        <f aca="false">IF(OR($A5=0,F$2=0,$A5=F$2),0,(정산!$E$7=F$2)*(정산!$C$19="O")*정산!$G$7+(정산!$E$8=F$2)*(정산!$D$19="O")*정산!$G$8+(정산!$E$9=F$2)*(정산!$E$19="O")*정산!$G$9+(정산!$E$10=F$2)*(정산!$F$19="O")*정산!$G$10+(정산!$E$11=F$2)*(정산!$G$19="O")*정산!$G$11+(정산!$E$12=F$2)*(정산!$H$19="O")*정산!$G$12)</f>
        <v>0</v>
      </c>
      <c r="G5" s="22" t="n">
        <f aca="false">IF(OR($A5=0,G$2=0,$A5=G$2),0,(정산!$E$7=G$2)*(정산!$C$19="O")*정산!$G$7+(정산!$E$8=G$2)*(정산!$D$19="O")*정산!$G$8+(정산!$E$9=G$2)*(정산!$E$19="O")*정산!$G$9+(정산!$E$10=G$2)*(정산!$F$19="O")*정산!$G$10+(정산!$E$11=G$2)*(정산!$G$19="O")*정산!$G$11+(정산!$E$12=G$2)*(정산!$H$19="O")*정산!$G$12)</f>
        <v>0</v>
      </c>
      <c r="H5" s="22" t="n">
        <f aca="false">IF(OR($A5=0,H$2=0,$A5=H$2),0,(정산!$E$7=H$2)*(정산!$C$19="O")*정산!$G$7+(정산!$E$8=H$2)*(정산!$D$19="O")*정산!$G$8+(정산!$E$9=H$2)*(정산!$E$19="O")*정산!$G$9+(정산!$E$10=H$2)*(정산!$F$19="O")*정산!$G$10+(정산!$E$11=H$2)*(정산!$G$19="O")*정산!$G$11+(정산!$E$12=H$2)*(정산!$H$19="O")*정산!$G$12)</f>
        <v>0</v>
      </c>
      <c r="I5" s="22" t="n">
        <f aca="false">IF(OR($A5=0,I$2=0,$A5=I$2),0,(정산!$E$7=I$2)*(정산!$C$19="O")*정산!$G$7+(정산!$E$8=I$2)*(정산!$D$19="O")*정산!$G$8+(정산!$E$9=I$2)*(정산!$E$19="O")*정산!$G$9+(정산!$E$10=I$2)*(정산!$F$19="O")*정산!$G$10+(정산!$E$11=I$2)*(정산!$G$19="O")*정산!$G$11+(정산!$E$12=I$2)*(정산!$H$19="O")*정산!$G$12)</f>
        <v>0</v>
      </c>
      <c r="J5" s="22" t="n">
        <f aca="false">IF(OR($A5=0,J$2=0,$A5=J$2),0,(정산!$E$7=J$2)*(정산!$C$19="O")*정산!$G$7+(정산!$E$8=J$2)*(정산!$D$19="O")*정산!$G$8+(정산!$E$9=J$2)*(정산!$E$19="O")*정산!$G$9+(정산!$E$10=J$2)*(정산!$F$19="O")*정산!$G$10+(정산!$E$11=J$2)*(정산!$G$19="O")*정산!$G$11+(정산!$E$12=J$2)*(정산!$H$19="O")*정산!$G$12)</f>
        <v>0</v>
      </c>
      <c r="K5" s="22" t="n">
        <f aca="false">IF(OR($A5=0,K$2=0,$A5=K$2),0,(정산!$E$7=K$2)*(정산!$C$19="O")*정산!$G$7+(정산!$E$8=K$2)*(정산!$D$19="O")*정산!$G$8+(정산!$E$9=K$2)*(정산!$E$19="O")*정산!$G$9+(정산!$E$10=K$2)*(정산!$F$19="O")*정산!$G$10+(정산!$E$11=K$2)*(정산!$G$19="O")*정산!$G$11+(정산!$E$12=K$2)*(정산!$H$19="O")*정산!$G$12)</f>
        <v>0</v>
      </c>
      <c r="L5" s="22" t="n">
        <f aca="false">IF(OR($A5=0,L$2=0,$A5=L$2),0,(정산!$E$7=L$2)*(정산!$C$19="O")*정산!$G$7+(정산!$E$8=L$2)*(정산!$D$19="O")*정산!$G$8+(정산!$E$9=L$2)*(정산!$E$19="O")*정산!$G$9+(정산!$E$10=L$2)*(정산!$F$19="O")*정산!$G$10+(정산!$E$11=L$2)*(정산!$G$19="O")*정산!$G$11+(정산!$E$12=L$2)*(정산!$H$19="O")*정산!$G$12)</f>
        <v>0</v>
      </c>
      <c r="M5" s="22" t="n">
        <f aca="false">IF(OR($A5=0,M$2=0,$A5=M$2),0,(정산!$E$7=M$2)*(정산!$C$19="O")*정산!$G$7+(정산!$E$8=M$2)*(정산!$D$19="O")*정산!$G$8+(정산!$E$9=M$2)*(정산!$E$19="O")*정산!$G$9+(정산!$E$10=M$2)*(정산!$F$19="O")*정산!$G$10+(정산!$E$11=M$2)*(정산!$G$19="O")*정산!$G$11+(정산!$E$12=M$2)*(정산!$H$19="O")*정산!$G$12)</f>
        <v>0</v>
      </c>
    </row>
    <row r="6" customFormat="false" ht="15" hidden="false" customHeight="false" outlineLevel="0" collapsed="false">
      <c r="A6" s="21" t="str">
        <f aca="false">정산!B20</f>
        <v>영희</v>
      </c>
      <c r="B6" s="22" t="n">
        <f aca="false">IF(OR($A6=0,B$2=0,$A6=B$2),0,(정산!$E$7=B$2)*(정산!$C$20="O")*정산!$G$7+(정산!$E$8=B$2)*(정산!$D$20="O")*정산!$G$8+(정산!$E$9=B$2)*(정산!$E$20="O")*정산!$G$9+(정산!$E$10=B$2)*(정산!$F$20="O")*정산!$G$10+(정산!$E$11=B$2)*(정산!$G$20="O")*정산!$G$11+(정산!$E$12=B$2)*(정산!$H$20="O")*정산!$G$12)</f>
        <v>40000</v>
      </c>
      <c r="C6" s="22" t="n">
        <f aca="false">IF(OR($A6=0,C$2=0,$A6=C$2),0,(정산!$E$7=C$2)*(정산!$C$20="O")*정산!$G$7+(정산!$E$8=C$2)*(정산!$D$20="O")*정산!$G$8+(정산!$E$9=C$2)*(정산!$E$20="O")*정산!$G$9+(정산!$E$10=C$2)*(정산!$F$20="O")*정산!$G$10+(정산!$E$11=C$2)*(정산!$G$20="O")*정산!$G$11+(정산!$E$12=C$2)*(정산!$H$20="O")*정산!$G$12)</f>
        <v>0</v>
      </c>
      <c r="D6" s="22" t="n">
        <f aca="false">IF(OR($A6=0,D$2=0,$A6=D$2),0,(정산!$E$7=D$2)*(정산!$C$20="O")*정산!$G$7+(정산!$E$8=D$2)*(정산!$D$20="O")*정산!$G$8+(정산!$E$9=D$2)*(정산!$E$20="O")*정산!$G$9+(정산!$E$10=D$2)*(정산!$F$20="O")*정산!$G$10+(정산!$E$11=D$2)*(정산!$G$20="O")*정산!$G$11+(정산!$E$12=D$2)*(정산!$H$20="O")*정산!$G$12)</f>
        <v>0</v>
      </c>
      <c r="E6" s="22" t="n">
        <f aca="false">IF(OR($A6=0,E$2=0,$A6=E$2),0,(정산!$E$7=E$2)*(정산!$C$20="O")*정산!$G$7+(정산!$E$8=E$2)*(정산!$D$20="O")*정산!$G$8+(정산!$E$9=E$2)*(정산!$E$20="O")*정산!$G$9+(정산!$E$10=E$2)*(정산!$F$20="O")*정산!$G$10+(정산!$E$11=E$2)*(정산!$G$20="O")*정산!$G$11+(정산!$E$12=E$2)*(정산!$H$20="O")*정산!$G$12)</f>
        <v>0</v>
      </c>
      <c r="F6" s="22" t="n">
        <f aca="false">IF(OR($A6=0,F$2=0,$A6=F$2),0,(정산!$E$7=F$2)*(정산!$C$20="O")*정산!$G$7+(정산!$E$8=F$2)*(정산!$D$20="O")*정산!$G$8+(정산!$E$9=F$2)*(정산!$E$20="O")*정산!$G$9+(정산!$E$10=F$2)*(정산!$F$20="O")*정산!$G$10+(정산!$E$11=F$2)*(정산!$G$20="O")*정산!$G$11+(정산!$E$12=F$2)*(정산!$H$20="O")*정산!$G$12)</f>
        <v>0</v>
      </c>
      <c r="G6" s="22" t="n">
        <f aca="false">IF(OR($A6=0,G$2=0,$A6=G$2),0,(정산!$E$7=G$2)*(정산!$C$20="O")*정산!$G$7+(정산!$E$8=G$2)*(정산!$D$20="O")*정산!$G$8+(정산!$E$9=G$2)*(정산!$E$20="O")*정산!$G$9+(정산!$E$10=G$2)*(정산!$F$20="O")*정산!$G$10+(정산!$E$11=G$2)*(정산!$G$20="O")*정산!$G$11+(정산!$E$12=G$2)*(정산!$H$20="O")*정산!$G$12)</f>
        <v>0</v>
      </c>
      <c r="H6" s="22" t="n">
        <f aca="false">IF(OR($A6=0,H$2=0,$A6=H$2),0,(정산!$E$7=H$2)*(정산!$C$20="O")*정산!$G$7+(정산!$E$8=H$2)*(정산!$D$20="O")*정산!$G$8+(정산!$E$9=H$2)*(정산!$E$20="O")*정산!$G$9+(정산!$E$10=H$2)*(정산!$F$20="O")*정산!$G$10+(정산!$E$11=H$2)*(정산!$G$20="O")*정산!$G$11+(정산!$E$12=H$2)*(정산!$H$20="O")*정산!$G$12)</f>
        <v>0</v>
      </c>
      <c r="I6" s="22" t="n">
        <f aca="false">IF(OR($A6=0,I$2=0,$A6=I$2),0,(정산!$E$7=I$2)*(정산!$C$20="O")*정산!$G$7+(정산!$E$8=I$2)*(정산!$D$20="O")*정산!$G$8+(정산!$E$9=I$2)*(정산!$E$20="O")*정산!$G$9+(정산!$E$10=I$2)*(정산!$F$20="O")*정산!$G$10+(정산!$E$11=I$2)*(정산!$G$20="O")*정산!$G$11+(정산!$E$12=I$2)*(정산!$H$20="O")*정산!$G$12)</f>
        <v>0</v>
      </c>
      <c r="J6" s="22" t="n">
        <f aca="false">IF(OR($A6=0,J$2=0,$A6=J$2),0,(정산!$E$7=J$2)*(정산!$C$20="O")*정산!$G$7+(정산!$E$8=J$2)*(정산!$D$20="O")*정산!$G$8+(정산!$E$9=J$2)*(정산!$E$20="O")*정산!$G$9+(정산!$E$10=J$2)*(정산!$F$20="O")*정산!$G$10+(정산!$E$11=J$2)*(정산!$G$20="O")*정산!$G$11+(정산!$E$12=J$2)*(정산!$H$20="O")*정산!$G$12)</f>
        <v>0</v>
      </c>
      <c r="K6" s="22" t="n">
        <f aca="false">IF(OR($A6=0,K$2=0,$A6=K$2),0,(정산!$E$7=K$2)*(정산!$C$20="O")*정산!$G$7+(정산!$E$8=K$2)*(정산!$D$20="O")*정산!$G$8+(정산!$E$9=K$2)*(정산!$E$20="O")*정산!$G$9+(정산!$E$10=K$2)*(정산!$F$20="O")*정산!$G$10+(정산!$E$11=K$2)*(정산!$G$20="O")*정산!$G$11+(정산!$E$12=K$2)*(정산!$H$20="O")*정산!$G$12)</f>
        <v>0</v>
      </c>
      <c r="L6" s="22" t="n">
        <f aca="false">IF(OR($A6=0,L$2=0,$A6=L$2),0,(정산!$E$7=L$2)*(정산!$C$20="O")*정산!$G$7+(정산!$E$8=L$2)*(정산!$D$20="O")*정산!$G$8+(정산!$E$9=L$2)*(정산!$E$20="O")*정산!$G$9+(정산!$E$10=L$2)*(정산!$F$20="O")*정산!$G$10+(정산!$E$11=L$2)*(정산!$G$20="O")*정산!$G$11+(정산!$E$12=L$2)*(정산!$H$20="O")*정산!$G$12)</f>
        <v>0</v>
      </c>
      <c r="M6" s="22" t="n">
        <f aca="false">IF(OR($A6=0,M$2=0,$A6=M$2),0,(정산!$E$7=M$2)*(정산!$C$20="O")*정산!$G$7+(정산!$E$8=M$2)*(정산!$D$20="O")*정산!$G$8+(정산!$E$9=M$2)*(정산!$E$20="O")*정산!$G$9+(정산!$E$10=M$2)*(정산!$F$20="O")*정산!$G$10+(정산!$E$11=M$2)*(정산!$G$20="O")*정산!$G$11+(정산!$E$12=M$2)*(정산!$H$20="O")*정산!$G$12)</f>
        <v>0</v>
      </c>
    </row>
    <row r="7" customFormat="false" ht="15" hidden="false" customHeight="false" outlineLevel="0" collapsed="false">
      <c r="A7" s="21" t="str">
        <f aca="false">정산!B21</f>
        <v>준호</v>
      </c>
      <c r="B7" s="22" t="n">
        <f aca="false">IF(OR($A7=0,B$2=0,$A7=B$2),0,(정산!$E$7=B$2)*(정산!$C$21="O")*정산!$G$7+(정산!$E$8=B$2)*(정산!$D$21="O")*정산!$G$8+(정산!$E$9=B$2)*(정산!$E$21="O")*정산!$G$9+(정산!$E$10=B$2)*(정산!$F$21="O")*정산!$G$10+(정산!$E$11=B$2)*(정산!$G$21="O")*정산!$G$11+(정산!$E$12=B$2)*(정산!$H$21="O")*정산!$G$12)</f>
        <v>10000</v>
      </c>
      <c r="C7" s="22" t="n">
        <f aca="false">IF(OR($A7=0,C$2=0,$A7=C$2),0,(정산!$E$7=C$2)*(정산!$C$21="O")*정산!$G$7+(정산!$E$8=C$2)*(정산!$D$21="O")*정산!$G$8+(정산!$E$9=C$2)*(정산!$E$21="O")*정산!$G$9+(정산!$E$10=C$2)*(정산!$F$21="O")*정산!$G$10+(정산!$E$11=C$2)*(정산!$G$21="O")*정산!$G$11+(정산!$E$12=C$2)*(정산!$H$21="O")*정산!$G$12)</f>
        <v>21250</v>
      </c>
      <c r="D7" s="22" t="n">
        <f aca="false">IF(OR($A7=0,D$2=0,$A7=D$2),0,(정산!$E$7=D$2)*(정산!$C$21="O")*정산!$G$7+(정산!$E$8=D$2)*(정산!$D$21="O")*정산!$G$8+(정산!$E$9=D$2)*(정산!$E$21="O")*정산!$G$9+(정산!$E$10=D$2)*(정산!$F$21="O")*정산!$G$10+(정산!$E$11=D$2)*(정산!$G$21="O")*정산!$G$11+(정산!$E$12=D$2)*(정산!$H$21="O")*정산!$G$12)</f>
        <v>0</v>
      </c>
      <c r="E7" s="22" t="n">
        <f aca="false">IF(OR($A7=0,E$2=0,$A7=E$2),0,(정산!$E$7=E$2)*(정산!$C$21="O")*정산!$G$7+(정산!$E$8=E$2)*(정산!$D$21="O")*정산!$G$8+(정산!$E$9=E$2)*(정산!$E$21="O")*정산!$G$9+(정산!$E$10=E$2)*(정산!$F$21="O")*정산!$G$10+(정산!$E$11=E$2)*(정산!$G$21="O")*정산!$G$11+(정산!$E$12=E$2)*(정산!$H$21="O")*정산!$G$12)</f>
        <v>0</v>
      </c>
      <c r="F7" s="22" t="n">
        <f aca="false">IF(OR($A7=0,F$2=0,$A7=F$2),0,(정산!$E$7=F$2)*(정산!$C$21="O")*정산!$G$7+(정산!$E$8=F$2)*(정산!$D$21="O")*정산!$G$8+(정산!$E$9=F$2)*(정산!$E$21="O")*정산!$G$9+(정산!$E$10=F$2)*(정산!$F$21="O")*정산!$G$10+(정산!$E$11=F$2)*(정산!$G$21="O")*정산!$G$11+(정산!$E$12=F$2)*(정산!$H$21="O")*정산!$G$12)</f>
        <v>0</v>
      </c>
      <c r="G7" s="22" t="n">
        <f aca="false">IF(OR($A7=0,G$2=0,$A7=G$2),0,(정산!$E$7=G$2)*(정산!$C$21="O")*정산!$G$7+(정산!$E$8=G$2)*(정산!$D$21="O")*정산!$G$8+(정산!$E$9=G$2)*(정산!$E$21="O")*정산!$G$9+(정산!$E$10=G$2)*(정산!$F$21="O")*정산!$G$10+(정산!$E$11=G$2)*(정산!$G$21="O")*정산!$G$11+(정산!$E$12=G$2)*(정산!$H$21="O")*정산!$G$12)</f>
        <v>0</v>
      </c>
      <c r="H7" s="22" t="n">
        <f aca="false">IF(OR($A7=0,H$2=0,$A7=H$2),0,(정산!$E$7=H$2)*(정산!$C$21="O")*정산!$G$7+(정산!$E$8=H$2)*(정산!$D$21="O")*정산!$G$8+(정산!$E$9=H$2)*(정산!$E$21="O")*정산!$G$9+(정산!$E$10=H$2)*(정산!$F$21="O")*정산!$G$10+(정산!$E$11=H$2)*(정산!$G$21="O")*정산!$G$11+(정산!$E$12=H$2)*(정산!$H$21="O")*정산!$G$12)</f>
        <v>0</v>
      </c>
      <c r="I7" s="22" t="n">
        <f aca="false">IF(OR($A7=0,I$2=0,$A7=I$2),0,(정산!$E$7=I$2)*(정산!$C$21="O")*정산!$G$7+(정산!$E$8=I$2)*(정산!$D$21="O")*정산!$G$8+(정산!$E$9=I$2)*(정산!$E$21="O")*정산!$G$9+(정산!$E$10=I$2)*(정산!$F$21="O")*정산!$G$10+(정산!$E$11=I$2)*(정산!$G$21="O")*정산!$G$11+(정산!$E$12=I$2)*(정산!$H$21="O")*정산!$G$12)</f>
        <v>0</v>
      </c>
      <c r="J7" s="22" t="n">
        <f aca="false">IF(OR($A7=0,J$2=0,$A7=J$2),0,(정산!$E$7=J$2)*(정산!$C$21="O")*정산!$G$7+(정산!$E$8=J$2)*(정산!$D$21="O")*정산!$G$8+(정산!$E$9=J$2)*(정산!$E$21="O")*정산!$G$9+(정산!$E$10=J$2)*(정산!$F$21="O")*정산!$G$10+(정산!$E$11=J$2)*(정산!$G$21="O")*정산!$G$11+(정산!$E$12=J$2)*(정산!$H$21="O")*정산!$G$12)</f>
        <v>0</v>
      </c>
      <c r="K7" s="22" t="n">
        <f aca="false">IF(OR($A7=0,K$2=0,$A7=K$2),0,(정산!$E$7=K$2)*(정산!$C$21="O")*정산!$G$7+(정산!$E$8=K$2)*(정산!$D$21="O")*정산!$G$8+(정산!$E$9=K$2)*(정산!$E$21="O")*정산!$G$9+(정산!$E$10=K$2)*(정산!$F$21="O")*정산!$G$10+(정산!$E$11=K$2)*(정산!$G$21="O")*정산!$G$11+(정산!$E$12=K$2)*(정산!$H$21="O")*정산!$G$12)</f>
        <v>0</v>
      </c>
      <c r="L7" s="22" t="n">
        <f aca="false">IF(OR($A7=0,L$2=0,$A7=L$2),0,(정산!$E$7=L$2)*(정산!$C$21="O")*정산!$G$7+(정산!$E$8=L$2)*(정산!$D$21="O")*정산!$G$8+(정산!$E$9=L$2)*(정산!$E$21="O")*정산!$G$9+(정산!$E$10=L$2)*(정산!$F$21="O")*정산!$G$10+(정산!$E$11=L$2)*(정산!$G$21="O")*정산!$G$11+(정산!$E$12=L$2)*(정산!$H$21="O")*정산!$G$12)</f>
        <v>0</v>
      </c>
      <c r="M7" s="22" t="n">
        <f aca="false">IF(OR($A7=0,M$2=0,$A7=M$2),0,(정산!$E$7=M$2)*(정산!$C$21="O")*정산!$G$7+(정산!$E$8=M$2)*(정산!$D$21="O")*정산!$G$8+(정산!$E$9=M$2)*(정산!$E$21="O")*정산!$G$9+(정산!$E$10=M$2)*(정산!$F$21="O")*정산!$G$10+(정산!$E$11=M$2)*(정산!$G$21="O")*정산!$G$11+(정산!$E$12=M$2)*(정산!$H$21="O")*정산!$G$12)</f>
        <v>0</v>
      </c>
    </row>
    <row r="8" customFormat="false" ht="15" hidden="false" customHeight="false" outlineLevel="0" collapsed="false">
      <c r="A8" s="21" t="n">
        <f aca="false">정산!B22</f>
        <v>0</v>
      </c>
      <c r="B8" s="22" t="n">
        <f aca="false">IF(OR($A8=0,B$2=0,$A8=B$2),0,(정산!$E$7=B$2)*(정산!$C$22="O")*정산!$G$7+(정산!$E$8=B$2)*(정산!$D$22="O")*정산!$G$8+(정산!$E$9=B$2)*(정산!$E$22="O")*정산!$G$9+(정산!$E$10=B$2)*(정산!$F$22="O")*정산!$G$10+(정산!$E$11=B$2)*(정산!$G$22="O")*정산!$G$11+(정산!$E$12=B$2)*(정산!$H$22="O")*정산!$G$12)</f>
        <v>0</v>
      </c>
      <c r="C8" s="22" t="n">
        <f aca="false">IF(OR($A8=0,C$2=0,$A8=C$2),0,(정산!$E$7=C$2)*(정산!$C$22="O")*정산!$G$7+(정산!$E$8=C$2)*(정산!$D$22="O")*정산!$G$8+(정산!$E$9=C$2)*(정산!$E$22="O")*정산!$G$9+(정산!$E$10=C$2)*(정산!$F$22="O")*정산!$G$10+(정산!$E$11=C$2)*(정산!$G$22="O")*정산!$G$11+(정산!$E$12=C$2)*(정산!$H$22="O")*정산!$G$12)</f>
        <v>0</v>
      </c>
      <c r="D8" s="22" t="n">
        <f aca="false">IF(OR($A8=0,D$2=0,$A8=D$2),0,(정산!$E$7=D$2)*(정산!$C$22="O")*정산!$G$7+(정산!$E$8=D$2)*(정산!$D$22="O")*정산!$G$8+(정산!$E$9=D$2)*(정산!$E$22="O")*정산!$G$9+(정산!$E$10=D$2)*(정산!$F$22="O")*정산!$G$10+(정산!$E$11=D$2)*(정산!$G$22="O")*정산!$G$11+(정산!$E$12=D$2)*(정산!$H$22="O")*정산!$G$12)</f>
        <v>0</v>
      </c>
      <c r="E8" s="22" t="n">
        <f aca="false">IF(OR($A8=0,E$2=0,$A8=E$2),0,(정산!$E$7=E$2)*(정산!$C$22="O")*정산!$G$7+(정산!$E$8=E$2)*(정산!$D$22="O")*정산!$G$8+(정산!$E$9=E$2)*(정산!$E$22="O")*정산!$G$9+(정산!$E$10=E$2)*(정산!$F$22="O")*정산!$G$10+(정산!$E$11=E$2)*(정산!$G$22="O")*정산!$G$11+(정산!$E$12=E$2)*(정산!$H$22="O")*정산!$G$12)</f>
        <v>0</v>
      </c>
      <c r="F8" s="22" t="n">
        <f aca="false">IF(OR($A8=0,F$2=0,$A8=F$2),0,(정산!$E$7=F$2)*(정산!$C$22="O")*정산!$G$7+(정산!$E$8=F$2)*(정산!$D$22="O")*정산!$G$8+(정산!$E$9=F$2)*(정산!$E$22="O")*정산!$G$9+(정산!$E$10=F$2)*(정산!$F$22="O")*정산!$G$10+(정산!$E$11=F$2)*(정산!$G$22="O")*정산!$G$11+(정산!$E$12=F$2)*(정산!$H$22="O")*정산!$G$12)</f>
        <v>0</v>
      </c>
      <c r="G8" s="22" t="n">
        <f aca="false">IF(OR($A8=0,G$2=0,$A8=G$2),0,(정산!$E$7=G$2)*(정산!$C$22="O")*정산!$G$7+(정산!$E$8=G$2)*(정산!$D$22="O")*정산!$G$8+(정산!$E$9=G$2)*(정산!$E$22="O")*정산!$G$9+(정산!$E$10=G$2)*(정산!$F$22="O")*정산!$G$10+(정산!$E$11=G$2)*(정산!$G$22="O")*정산!$G$11+(정산!$E$12=G$2)*(정산!$H$22="O")*정산!$G$12)</f>
        <v>0</v>
      </c>
      <c r="H8" s="22" t="n">
        <f aca="false">IF(OR($A8=0,H$2=0,$A8=H$2),0,(정산!$E$7=H$2)*(정산!$C$22="O")*정산!$G$7+(정산!$E$8=H$2)*(정산!$D$22="O")*정산!$G$8+(정산!$E$9=H$2)*(정산!$E$22="O")*정산!$G$9+(정산!$E$10=H$2)*(정산!$F$22="O")*정산!$G$10+(정산!$E$11=H$2)*(정산!$G$22="O")*정산!$G$11+(정산!$E$12=H$2)*(정산!$H$22="O")*정산!$G$12)</f>
        <v>0</v>
      </c>
      <c r="I8" s="22" t="n">
        <f aca="false">IF(OR($A8=0,I$2=0,$A8=I$2),0,(정산!$E$7=I$2)*(정산!$C$22="O")*정산!$G$7+(정산!$E$8=I$2)*(정산!$D$22="O")*정산!$G$8+(정산!$E$9=I$2)*(정산!$E$22="O")*정산!$G$9+(정산!$E$10=I$2)*(정산!$F$22="O")*정산!$G$10+(정산!$E$11=I$2)*(정산!$G$22="O")*정산!$G$11+(정산!$E$12=I$2)*(정산!$H$22="O")*정산!$G$12)</f>
        <v>0</v>
      </c>
      <c r="J8" s="22" t="n">
        <f aca="false">IF(OR($A8=0,J$2=0,$A8=J$2),0,(정산!$E$7=J$2)*(정산!$C$22="O")*정산!$G$7+(정산!$E$8=J$2)*(정산!$D$22="O")*정산!$G$8+(정산!$E$9=J$2)*(정산!$E$22="O")*정산!$G$9+(정산!$E$10=J$2)*(정산!$F$22="O")*정산!$G$10+(정산!$E$11=J$2)*(정산!$G$22="O")*정산!$G$11+(정산!$E$12=J$2)*(정산!$H$22="O")*정산!$G$12)</f>
        <v>0</v>
      </c>
      <c r="K8" s="22" t="n">
        <f aca="false">IF(OR($A8=0,K$2=0,$A8=K$2),0,(정산!$E$7=K$2)*(정산!$C$22="O")*정산!$G$7+(정산!$E$8=K$2)*(정산!$D$22="O")*정산!$G$8+(정산!$E$9=K$2)*(정산!$E$22="O")*정산!$G$9+(정산!$E$10=K$2)*(정산!$F$22="O")*정산!$G$10+(정산!$E$11=K$2)*(정산!$G$22="O")*정산!$G$11+(정산!$E$12=K$2)*(정산!$H$22="O")*정산!$G$12)</f>
        <v>0</v>
      </c>
      <c r="L8" s="22" t="n">
        <f aca="false">IF(OR($A8=0,L$2=0,$A8=L$2),0,(정산!$E$7=L$2)*(정산!$C$22="O")*정산!$G$7+(정산!$E$8=L$2)*(정산!$D$22="O")*정산!$G$8+(정산!$E$9=L$2)*(정산!$E$22="O")*정산!$G$9+(정산!$E$10=L$2)*(정산!$F$22="O")*정산!$G$10+(정산!$E$11=L$2)*(정산!$G$22="O")*정산!$G$11+(정산!$E$12=L$2)*(정산!$H$22="O")*정산!$G$12)</f>
        <v>0</v>
      </c>
      <c r="M8" s="22" t="n">
        <f aca="false">IF(OR($A8=0,M$2=0,$A8=M$2),0,(정산!$E$7=M$2)*(정산!$C$22="O")*정산!$G$7+(정산!$E$8=M$2)*(정산!$D$22="O")*정산!$G$8+(정산!$E$9=M$2)*(정산!$E$22="O")*정산!$G$9+(정산!$E$10=M$2)*(정산!$F$22="O")*정산!$G$10+(정산!$E$11=M$2)*(정산!$G$22="O")*정산!$G$11+(정산!$E$12=M$2)*(정산!$H$22="O")*정산!$G$12)</f>
        <v>0</v>
      </c>
    </row>
    <row r="9" customFormat="false" ht="15" hidden="false" customHeight="false" outlineLevel="0" collapsed="false">
      <c r="A9" s="21" t="n">
        <f aca="false">정산!B23</f>
        <v>0</v>
      </c>
      <c r="B9" s="22" t="n">
        <f aca="false">IF(OR($A9=0,B$2=0,$A9=B$2),0,(정산!$E$7=B$2)*(정산!$C$23="O")*정산!$G$7+(정산!$E$8=B$2)*(정산!$D$23="O")*정산!$G$8+(정산!$E$9=B$2)*(정산!$E$23="O")*정산!$G$9+(정산!$E$10=B$2)*(정산!$F$23="O")*정산!$G$10+(정산!$E$11=B$2)*(정산!$G$23="O")*정산!$G$11+(정산!$E$12=B$2)*(정산!$H$23="O")*정산!$G$12)</f>
        <v>0</v>
      </c>
      <c r="C9" s="22" t="n">
        <f aca="false">IF(OR($A9=0,C$2=0,$A9=C$2),0,(정산!$E$7=C$2)*(정산!$C$23="O")*정산!$G$7+(정산!$E$8=C$2)*(정산!$D$23="O")*정산!$G$8+(정산!$E$9=C$2)*(정산!$E$23="O")*정산!$G$9+(정산!$E$10=C$2)*(정산!$F$23="O")*정산!$G$10+(정산!$E$11=C$2)*(정산!$G$23="O")*정산!$G$11+(정산!$E$12=C$2)*(정산!$H$23="O")*정산!$G$12)</f>
        <v>0</v>
      </c>
      <c r="D9" s="22" t="n">
        <f aca="false">IF(OR($A9=0,D$2=0,$A9=D$2),0,(정산!$E$7=D$2)*(정산!$C$23="O")*정산!$G$7+(정산!$E$8=D$2)*(정산!$D$23="O")*정산!$G$8+(정산!$E$9=D$2)*(정산!$E$23="O")*정산!$G$9+(정산!$E$10=D$2)*(정산!$F$23="O")*정산!$G$10+(정산!$E$11=D$2)*(정산!$G$23="O")*정산!$G$11+(정산!$E$12=D$2)*(정산!$H$23="O")*정산!$G$12)</f>
        <v>0</v>
      </c>
      <c r="E9" s="22" t="n">
        <f aca="false">IF(OR($A9=0,E$2=0,$A9=E$2),0,(정산!$E$7=E$2)*(정산!$C$23="O")*정산!$G$7+(정산!$E$8=E$2)*(정산!$D$23="O")*정산!$G$8+(정산!$E$9=E$2)*(정산!$E$23="O")*정산!$G$9+(정산!$E$10=E$2)*(정산!$F$23="O")*정산!$G$10+(정산!$E$11=E$2)*(정산!$G$23="O")*정산!$G$11+(정산!$E$12=E$2)*(정산!$H$23="O")*정산!$G$12)</f>
        <v>0</v>
      </c>
      <c r="F9" s="22" t="n">
        <f aca="false">IF(OR($A9=0,F$2=0,$A9=F$2),0,(정산!$E$7=F$2)*(정산!$C$23="O")*정산!$G$7+(정산!$E$8=F$2)*(정산!$D$23="O")*정산!$G$8+(정산!$E$9=F$2)*(정산!$E$23="O")*정산!$G$9+(정산!$E$10=F$2)*(정산!$F$23="O")*정산!$G$10+(정산!$E$11=F$2)*(정산!$G$23="O")*정산!$G$11+(정산!$E$12=F$2)*(정산!$H$23="O")*정산!$G$12)</f>
        <v>0</v>
      </c>
      <c r="G9" s="22" t="n">
        <f aca="false">IF(OR($A9=0,G$2=0,$A9=G$2),0,(정산!$E$7=G$2)*(정산!$C$23="O")*정산!$G$7+(정산!$E$8=G$2)*(정산!$D$23="O")*정산!$G$8+(정산!$E$9=G$2)*(정산!$E$23="O")*정산!$G$9+(정산!$E$10=G$2)*(정산!$F$23="O")*정산!$G$10+(정산!$E$11=G$2)*(정산!$G$23="O")*정산!$G$11+(정산!$E$12=G$2)*(정산!$H$23="O")*정산!$G$12)</f>
        <v>0</v>
      </c>
      <c r="H9" s="22" t="n">
        <f aca="false">IF(OR($A9=0,H$2=0,$A9=H$2),0,(정산!$E$7=H$2)*(정산!$C$23="O")*정산!$G$7+(정산!$E$8=H$2)*(정산!$D$23="O")*정산!$G$8+(정산!$E$9=H$2)*(정산!$E$23="O")*정산!$G$9+(정산!$E$10=H$2)*(정산!$F$23="O")*정산!$G$10+(정산!$E$11=H$2)*(정산!$G$23="O")*정산!$G$11+(정산!$E$12=H$2)*(정산!$H$23="O")*정산!$G$12)</f>
        <v>0</v>
      </c>
      <c r="I9" s="22" t="n">
        <f aca="false">IF(OR($A9=0,I$2=0,$A9=I$2),0,(정산!$E$7=I$2)*(정산!$C$23="O")*정산!$G$7+(정산!$E$8=I$2)*(정산!$D$23="O")*정산!$G$8+(정산!$E$9=I$2)*(정산!$E$23="O")*정산!$G$9+(정산!$E$10=I$2)*(정산!$F$23="O")*정산!$G$10+(정산!$E$11=I$2)*(정산!$G$23="O")*정산!$G$11+(정산!$E$12=I$2)*(정산!$H$23="O")*정산!$G$12)</f>
        <v>0</v>
      </c>
      <c r="J9" s="22" t="n">
        <f aca="false">IF(OR($A9=0,J$2=0,$A9=J$2),0,(정산!$E$7=J$2)*(정산!$C$23="O")*정산!$G$7+(정산!$E$8=J$2)*(정산!$D$23="O")*정산!$G$8+(정산!$E$9=J$2)*(정산!$E$23="O")*정산!$G$9+(정산!$E$10=J$2)*(정산!$F$23="O")*정산!$G$10+(정산!$E$11=J$2)*(정산!$G$23="O")*정산!$G$11+(정산!$E$12=J$2)*(정산!$H$23="O")*정산!$G$12)</f>
        <v>0</v>
      </c>
      <c r="K9" s="22" t="n">
        <f aca="false">IF(OR($A9=0,K$2=0,$A9=K$2),0,(정산!$E$7=K$2)*(정산!$C$23="O")*정산!$G$7+(정산!$E$8=K$2)*(정산!$D$23="O")*정산!$G$8+(정산!$E$9=K$2)*(정산!$E$23="O")*정산!$G$9+(정산!$E$10=K$2)*(정산!$F$23="O")*정산!$G$10+(정산!$E$11=K$2)*(정산!$G$23="O")*정산!$G$11+(정산!$E$12=K$2)*(정산!$H$23="O")*정산!$G$12)</f>
        <v>0</v>
      </c>
      <c r="L9" s="22" t="n">
        <f aca="false">IF(OR($A9=0,L$2=0,$A9=L$2),0,(정산!$E$7=L$2)*(정산!$C$23="O")*정산!$G$7+(정산!$E$8=L$2)*(정산!$D$23="O")*정산!$G$8+(정산!$E$9=L$2)*(정산!$E$23="O")*정산!$G$9+(정산!$E$10=L$2)*(정산!$F$23="O")*정산!$G$10+(정산!$E$11=L$2)*(정산!$G$23="O")*정산!$G$11+(정산!$E$12=L$2)*(정산!$H$23="O")*정산!$G$12)</f>
        <v>0</v>
      </c>
      <c r="M9" s="22" t="n">
        <f aca="false">IF(OR($A9=0,M$2=0,$A9=M$2),0,(정산!$E$7=M$2)*(정산!$C$23="O")*정산!$G$7+(정산!$E$8=M$2)*(정산!$D$23="O")*정산!$G$8+(정산!$E$9=M$2)*(정산!$E$23="O")*정산!$G$9+(정산!$E$10=M$2)*(정산!$F$23="O")*정산!$G$10+(정산!$E$11=M$2)*(정산!$G$23="O")*정산!$G$11+(정산!$E$12=M$2)*(정산!$H$23="O")*정산!$G$12)</f>
        <v>0</v>
      </c>
    </row>
    <row r="10" customFormat="false" ht="15" hidden="false" customHeight="false" outlineLevel="0" collapsed="false">
      <c r="A10" s="21" t="n">
        <f aca="false">정산!B24</f>
        <v>0</v>
      </c>
      <c r="B10" s="22" t="n">
        <f aca="false">IF(OR($A10=0,B$2=0,$A10=B$2),0,(정산!$E$7=B$2)*(정산!$C$24="O")*정산!$G$7+(정산!$E$8=B$2)*(정산!$D$24="O")*정산!$G$8+(정산!$E$9=B$2)*(정산!$E$24="O")*정산!$G$9+(정산!$E$10=B$2)*(정산!$F$24="O")*정산!$G$10+(정산!$E$11=B$2)*(정산!$G$24="O")*정산!$G$11+(정산!$E$12=B$2)*(정산!$H$24="O")*정산!$G$12)</f>
        <v>0</v>
      </c>
      <c r="C10" s="22" t="n">
        <f aca="false">IF(OR($A10=0,C$2=0,$A10=C$2),0,(정산!$E$7=C$2)*(정산!$C$24="O")*정산!$G$7+(정산!$E$8=C$2)*(정산!$D$24="O")*정산!$G$8+(정산!$E$9=C$2)*(정산!$E$24="O")*정산!$G$9+(정산!$E$10=C$2)*(정산!$F$24="O")*정산!$G$10+(정산!$E$11=C$2)*(정산!$G$24="O")*정산!$G$11+(정산!$E$12=C$2)*(정산!$H$24="O")*정산!$G$12)</f>
        <v>0</v>
      </c>
      <c r="D10" s="22" t="n">
        <f aca="false">IF(OR($A10=0,D$2=0,$A10=D$2),0,(정산!$E$7=D$2)*(정산!$C$24="O")*정산!$G$7+(정산!$E$8=D$2)*(정산!$D$24="O")*정산!$G$8+(정산!$E$9=D$2)*(정산!$E$24="O")*정산!$G$9+(정산!$E$10=D$2)*(정산!$F$24="O")*정산!$G$10+(정산!$E$11=D$2)*(정산!$G$24="O")*정산!$G$11+(정산!$E$12=D$2)*(정산!$H$24="O")*정산!$G$12)</f>
        <v>0</v>
      </c>
      <c r="E10" s="22" t="n">
        <f aca="false">IF(OR($A10=0,E$2=0,$A10=E$2),0,(정산!$E$7=E$2)*(정산!$C$24="O")*정산!$G$7+(정산!$E$8=E$2)*(정산!$D$24="O")*정산!$G$8+(정산!$E$9=E$2)*(정산!$E$24="O")*정산!$G$9+(정산!$E$10=E$2)*(정산!$F$24="O")*정산!$G$10+(정산!$E$11=E$2)*(정산!$G$24="O")*정산!$G$11+(정산!$E$12=E$2)*(정산!$H$24="O")*정산!$G$12)</f>
        <v>0</v>
      </c>
      <c r="F10" s="22" t="n">
        <f aca="false">IF(OR($A10=0,F$2=0,$A10=F$2),0,(정산!$E$7=F$2)*(정산!$C$24="O")*정산!$G$7+(정산!$E$8=F$2)*(정산!$D$24="O")*정산!$G$8+(정산!$E$9=F$2)*(정산!$E$24="O")*정산!$G$9+(정산!$E$10=F$2)*(정산!$F$24="O")*정산!$G$10+(정산!$E$11=F$2)*(정산!$G$24="O")*정산!$G$11+(정산!$E$12=F$2)*(정산!$H$24="O")*정산!$G$12)</f>
        <v>0</v>
      </c>
      <c r="G10" s="22" t="n">
        <f aca="false">IF(OR($A10=0,G$2=0,$A10=G$2),0,(정산!$E$7=G$2)*(정산!$C$24="O")*정산!$G$7+(정산!$E$8=G$2)*(정산!$D$24="O")*정산!$G$8+(정산!$E$9=G$2)*(정산!$E$24="O")*정산!$G$9+(정산!$E$10=G$2)*(정산!$F$24="O")*정산!$G$10+(정산!$E$11=G$2)*(정산!$G$24="O")*정산!$G$11+(정산!$E$12=G$2)*(정산!$H$24="O")*정산!$G$12)</f>
        <v>0</v>
      </c>
      <c r="H10" s="22" t="n">
        <f aca="false">IF(OR($A10=0,H$2=0,$A10=H$2),0,(정산!$E$7=H$2)*(정산!$C$24="O")*정산!$G$7+(정산!$E$8=H$2)*(정산!$D$24="O")*정산!$G$8+(정산!$E$9=H$2)*(정산!$E$24="O")*정산!$G$9+(정산!$E$10=H$2)*(정산!$F$24="O")*정산!$G$10+(정산!$E$11=H$2)*(정산!$G$24="O")*정산!$G$11+(정산!$E$12=H$2)*(정산!$H$24="O")*정산!$G$12)</f>
        <v>0</v>
      </c>
      <c r="I10" s="22" t="n">
        <f aca="false">IF(OR($A10=0,I$2=0,$A10=I$2),0,(정산!$E$7=I$2)*(정산!$C$24="O")*정산!$G$7+(정산!$E$8=I$2)*(정산!$D$24="O")*정산!$G$8+(정산!$E$9=I$2)*(정산!$E$24="O")*정산!$G$9+(정산!$E$10=I$2)*(정산!$F$24="O")*정산!$G$10+(정산!$E$11=I$2)*(정산!$G$24="O")*정산!$G$11+(정산!$E$12=I$2)*(정산!$H$24="O")*정산!$G$12)</f>
        <v>0</v>
      </c>
      <c r="J10" s="22" t="n">
        <f aca="false">IF(OR($A10=0,J$2=0,$A10=J$2),0,(정산!$E$7=J$2)*(정산!$C$24="O")*정산!$G$7+(정산!$E$8=J$2)*(정산!$D$24="O")*정산!$G$8+(정산!$E$9=J$2)*(정산!$E$24="O")*정산!$G$9+(정산!$E$10=J$2)*(정산!$F$24="O")*정산!$G$10+(정산!$E$11=J$2)*(정산!$G$24="O")*정산!$G$11+(정산!$E$12=J$2)*(정산!$H$24="O")*정산!$G$12)</f>
        <v>0</v>
      </c>
      <c r="K10" s="22" t="n">
        <f aca="false">IF(OR($A10=0,K$2=0,$A10=K$2),0,(정산!$E$7=K$2)*(정산!$C$24="O")*정산!$G$7+(정산!$E$8=K$2)*(정산!$D$24="O")*정산!$G$8+(정산!$E$9=K$2)*(정산!$E$24="O")*정산!$G$9+(정산!$E$10=K$2)*(정산!$F$24="O")*정산!$G$10+(정산!$E$11=K$2)*(정산!$G$24="O")*정산!$G$11+(정산!$E$12=K$2)*(정산!$H$24="O")*정산!$G$12)</f>
        <v>0</v>
      </c>
      <c r="L10" s="22" t="n">
        <f aca="false">IF(OR($A10=0,L$2=0,$A10=L$2),0,(정산!$E$7=L$2)*(정산!$C$24="O")*정산!$G$7+(정산!$E$8=L$2)*(정산!$D$24="O")*정산!$G$8+(정산!$E$9=L$2)*(정산!$E$24="O")*정산!$G$9+(정산!$E$10=L$2)*(정산!$F$24="O")*정산!$G$10+(정산!$E$11=L$2)*(정산!$G$24="O")*정산!$G$11+(정산!$E$12=L$2)*(정산!$H$24="O")*정산!$G$12)</f>
        <v>0</v>
      </c>
      <c r="M10" s="22" t="n">
        <f aca="false">IF(OR($A10=0,M$2=0,$A10=M$2),0,(정산!$E$7=M$2)*(정산!$C$24="O")*정산!$G$7+(정산!$E$8=M$2)*(정산!$D$24="O")*정산!$G$8+(정산!$E$9=M$2)*(정산!$E$24="O")*정산!$G$9+(정산!$E$10=M$2)*(정산!$F$24="O")*정산!$G$10+(정산!$E$11=M$2)*(정산!$G$24="O")*정산!$G$11+(정산!$E$12=M$2)*(정산!$H$24="O")*정산!$G$12)</f>
        <v>0</v>
      </c>
    </row>
    <row r="11" customFormat="false" ht="15" hidden="false" customHeight="false" outlineLevel="0" collapsed="false">
      <c r="A11" s="21" t="n">
        <f aca="false">정산!B25</f>
        <v>0</v>
      </c>
      <c r="B11" s="22" t="n">
        <f aca="false">IF(OR($A11=0,B$2=0,$A11=B$2),0,(정산!$E$7=B$2)*(정산!$C$25="O")*정산!$G$7+(정산!$E$8=B$2)*(정산!$D$25="O")*정산!$G$8+(정산!$E$9=B$2)*(정산!$E$25="O")*정산!$G$9+(정산!$E$10=B$2)*(정산!$F$25="O")*정산!$G$10+(정산!$E$11=B$2)*(정산!$G$25="O")*정산!$G$11+(정산!$E$12=B$2)*(정산!$H$25="O")*정산!$G$12)</f>
        <v>0</v>
      </c>
      <c r="C11" s="22" t="n">
        <f aca="false">IF(OR($A11=0,C$2=0,$A11=C$2),0,(정산!$E$7=C$2)*(정산!$C$25="O")*정산!$G$7+(정산!$E$8=C$2)*(정산!$D$25="O")*정산!$G$8+(정산!$E$9=C$2)*(정산!$E$25="O")*정산!$G$9+(정산!$E$10=C$2)*(정산!$F$25="O")*정산!$G$10+(정산!$E$11=C$2)*(정산!$G$25="O")*정산!$G$11+(정산!$E$12=C$2)*(정산!$H$25="O")*정산!$G$12)</f>
        <v>0</v>
      </c>
      <c r="D11" s="22" t="n">
        <f aca="false">IF(OR($A11=0,D$2=0,$A11=D$2),0,(정산!$E$7=D$2)*(정산!$C$25="O")*정산!$G$7+(정산!$E$8=D$2)*(정산!$D$25="O")*정산!$G$8+(정산!$E$9=D$2)*(정산!$E$25="O")*정산!$G$9+(정산!$E$10=D$2)*(정산!$F$25="O")*정산!$G$10+(정산!$E$11=D$2)*(정산!$G$25="O")*정산!$G$11+(정산!$E$12=D$2)*(정산!$H$25="O")*정산!$G$12)</f>
        <v>0</v>
      </c>
      <c r="E11" s="22" t="n">
        <f aca="false">IF(OR($A11=0,E$2=0,$A11=E$2),0,(정산!$E$7=E$2)*(정산!$C$25="O")*정산!$G$7+(정산!$E$8=E$2)*(정산!$D$25="O")*정산!$G$8+(정산!$E$9=E$2)*(정산!$E$25="O")*정산!$G$9+(정산!$E$10=E$2)*(정산!$F$25="O")*정산!$G$10+(정산!$E$11=E$2)*(정산!$G$25="O")*정산!$G$11+(정산!$E$12=E$2)*(정산!$H$25="O")*정산!$G$12)</f>
        <v>0</v>
      </c>
      <c r="F11" s="22" t="n">
        <f aca="false">IF(OR($A11=0,F$2=0,$A11=F$2),0,(정산!$E$7=F$2)*(정산!$C$25="O")*정산!$G$7+(정산!$E$8=F$2)*(정산!$D$25="O")*정산!$G$8+(정산!$E$9=F$2)*(정산!$E$25="O")*정산!$G$9+(정산!$E$10=F$2)*(정산!$F$25="O")*정산!$G$10+(정산!$E$11=F$2)*(정산!$G$25="O")*정산!$G$11+(정산!$E$12=F$2)*(정산!$H$25="O")*정산!$G$12)</f>
        <v>0</v>
      </c>
      <c r="G11" s="22" t="n">
        <f aca="false">IF(OR($A11=0,G$2=0,$A11=G$2),0,(정산!$E$7=G$2)*(정산!$C$25="O")*정산!$G$7+(정산!$E$8=G$2)*(정산!$D$25="O")*정산!$G$8+(정산!$E$9=G$2)*(정산!$E$25="O")*정산!$G$9+(정산!$E$10=G$2)*(정산!$F$25="O")*정산!$G$10+(정산!$E$11=G$2)*(정산!$G$25="O")*정산!$G$11+(정산!$E$12=G$2)*(정산!$H$25="O")*정산!$G$12)</f>
        <v>0</v>
      </c>
      <c r="H11" s="22" t="n">
        <f aca="false">IF(OR($A11=0,H$2=0,$A11=H$2),0,(정산!$E$7=H$2)*(정산!$C$25="O")*정산!$G$7+(정산!$E$8=H$2)*(정산!$D$25="O")*정산!$G$8+(정산!$E$9=H$2)*(정산!$E$25="O")*정산!$G$9+(정산!$E$10=H$2)*(정산!$F$25="O")*정산!$G$10+(정산!$E$11=H$2)*(정산!$G$25="O")*정산!$G$11+(정산!$E$12=H$2)*(정산!$H$25="O")*정산!$G$12)</f>
        <v>0</v>
      </c>
      <c r="I11" s="22" t="n">
        <f aca="false">IF(OR($A11=0,I$2=0,$A11=I$2),0,(정산!$E$7=I$2)*(정산!$C$25="O")*정산!$G$7+(정산!$E$8=I$2)*(정산!$D$25="O")*정산!$G$8+(정산!$E$9=I$2)*(정산!$E$25="O")*정산!$G$9+(정산!$E$10=I$2)*(정산!$F$25="O")*정산!$G$10+(정산!$E$11=I$2)*(정산!$G$25="O")*정산!$G$11+(정산!$E$12=I$2)*(정산!$H$25="O")*정산!$G$12)</f>
        <v>0</v>
      </c>
      <c r="J11" s="22" t="n">
        <f aca="false">IF(OR($A11=0,J$2=0,$A11=J$2),0,(정산!$E$7=J$2)*(정산!$C$25="O")*정산!$G$7+(정산!$E$8=J$2)*(정산!$D$25="O")*정산!$G$8+(정산!$E$9=J$2)*(정산!$E$25="O")*정산!$G$9+(정산!$E$10=J$2)*(정산!$F$25="O")*정산!$G$10+(정산!$E$11=J$2)*(정산!$G$25="O")*정산!$G$11+(정산!$E$12=J$2)*(정산!$H$25="O")*정산!$G$12)</f>
        <v>0</v>
      </c>
      <c r="K11" s="22" t="n">
        <f aca="false">IF(OR($A11=0,K$2=0,$A11=K$2),0,(정산!$E$7=K$2)*(정산!$C$25="O")*정산!$G$7+(정산!$E$8=K$2)*(정산!$D$25="O")*정산!$G$8+(정산!$E$9=K$2)*(정산!$E$25="O")*정산!$G$9+(정산!$E$10=K$2)*(정산!$F$25="O")*정산!$G$10+(정산!$E$11=K$2)*(정산!$G$25="O")*정산!$G$11+(정산!$E$12=K$2)*(정산!$H$25="O")*정산!$G$12)</f>
        <v>0</v>
      </c>
      <c r="L11" s="22" t="n">
        <f aca="false">IF(OR($A11=0,L$2=0,$A11=L$2),0,(정산!$E$7=L$2)*(정산!$C$25="O")*정산!$G$7+(정산!$E$8=L$2)*(정산!$D$25="O")*정산!$G$8+(정산!$E$9=L$2)*(정산!$E$25="O")*정산!$G$9+(정산!$E$10=L$2)*(정산!$F$25="O")*정산!$G$10+(정산!$E$11=L$2)*(정산!$G$25="O")*정산!$G$11+(정산!$E$12=L$2)*(정산!$H$25="O")*정산!$G$12)</f>
        <v>0</v>
      </c>
      <c r="M11" s="22" t="n">
        <f aca="false">IF(OR($A11=0,M$2=0,$A11=M$2),0,(정산!$E$7=M$2)*(정산!$C$25="O")*정산!$G$7+(정산!$E$8=M$2)*(정산!$D$25="O")*정산!$G$8+(정산!$E$9=M$2)*(정산!$E$25="O")*정산!$G$9+(정산!$E$10=M$2)*(정산!$F$25="O")*정산!$G$10+(정산!$E$11=M$2)*(정산!$G$25="O")*정산!$G$11+(정산!$E$12=M$2)*(정산!$H$25="O")*정산!$G$12)</f>
        <v>0</v>
      </c>
    </row>
    <row r="12" customFormat="false" ht="15" hidden="false" customHeight="false" outlineLevel="0" collapsed="false">
      <c r="A12" s="21" t="n">
        <f aca="false">정산!B26</f>
        <v>0</v>
      </c>
      <c r="B12" s="22" t="n">
        <f aca="false">IF(OR($A12=0,B$2=0,$A12=B$2),0,(정산!$E$7=B$2)*(정산!$C$26="O")*정산!$G$7+(정산!$E$8=B$2)*(정산!$D$26="O")*정산!$G$8+(정산!$E$9=B$2)*(정산!$E$26="O")*정산!$G$9+(정산!$E$10=B$2)*(정산!$F$26="O")*정산!$G$10+(정산!$E$11=B$2)*(정산!$G$26="O")*정산!$G$11+(정산!$E$12=B$2)*(정산!$H$26="O")*정산!$G$12)</f>
        <v>0</v>
      </c>
      <c r="C12" s="22" t="n">
        <f aca="false">IF(OR($A12=0,C$2=0,$A12=C$2),0,(정산!$E$7=C$2)*(정산!$C$26="O")*정산!$G$7+(정산!$E$8=C$2)*(정산!$D$26="O")*정산!$G$8+(정산!$E$9=C$2)*(정산!$E$26="O")*정산!$G$9+(정산!$E$10=C$2)*(정산!$F$26="O")*정산!$G$10+(정산!$E$11=C$2)*(정산!$G$26="O")*정산!$G$11+(정산!$E$12=C$2)*(정산!$H$26="O")*정산!$G$12)</f>
        <v>0</v>
      </c>
      <c r="D12" s="22" t="n">
        <f aca="false">IF(OR($A12=0,D$2=0,$A12=D$2),0,(정산!$E$7=D$2)*(정산!$C$26="O")*정산!$G$7+(정산!$E$8=D$2)*(정산!$D$26="O")*정산!$G$8+(정산!$E$9=D$2)*(정산!$E$26="O")*정산!$G$9+(정산!$E$10=D$2)*(정산!$F$26="O")*정산!$G$10+(정산!$E$11=D$2)*(정산!$G$26="O")*정산!$G$11+(정산!$E$12=D$2)*(정산!$H$26="O")*정산!$G$12)</f>
        <v>0</v>
      </c>
      <c r="E12" s="22" t="n">
        <f aca="false">IF(OR($A12=0,E$2=0,$A12=E$2),0,(정산!$E$7=E$2)*(정산!$C$26="O")*정산!$G$7+(정산!$E$8=E$2)*(정산!$D$26="O")*정산!$G$8+(정산!$E$9=E$2)*(정산!$E$26="O")*정산!$G$9+(정산!$E$10=E$2)*(정산!$F$26="O")*정산!$G$10+(정산!$E$11=E$2)*(정산!$G$26="O")*정산!$G$11+(정산!$E$12=E$2)*(정산!$H$26="O")*정산!$G$12)</f>
        <v>0</v>
      </c>
      <c r="F12" s="22" t="n">
        <f aca="false">IF(OR($A12=0,F$2=0,$A12=F$2),0,(정산!$E$7=F$2)*(정산!$C$26="O")*정산!$G$7+(정산!$E$8=F$2)*(정산!$D$26="O")*정산!$G$8+(정산!$E$9=F$2)*(정산!$E$26="O")*정산!$G$9+(정산!$E$10=F$2)*(정산!$F$26="O")*정산!$G$10+(정산!$E$11=F$2)*(정산!$G$26="O")*정산!$G$11+(정산!$E$12=F$2)*(정산!$H$26="O")*정산!$G$12)</f>
        <v>0</v>
      </c>
      <c r="G12" s="22" t="n">
        <f aca="false">IF(OR($A12=0,G$2=0,$A12=G$2),0,(정산!$E$7=G$2)*(정산!$C$26="O")*정산!$G$7+(정산!$E$8=G$2)*(정산!$D$26="O")*정산!$G$8+(정산!$E$9=G$2)*(정산!$E$26="O")*정산!$G$9+(정산!$E$10=G$2)*(정산!$F$26="O")*정산!$G$10+(정산!$E$11=G$2)*(정산!$G$26="O")*정산!$G$11+(정산!$E$12=G$2)*(정산!$H$26="O")*정산!$G$12)</f>
        <v>0</v>
      </c>
      <c r="H12" s="22" t="n">
        <f aca="false">IF(OR($A12=0,H$2=0,$A12=H$2),0,(정산!$E$7=H$2)*(정산!$C$26="O")*정산!$G$7+(정산!$E$8=H$2)*(정산!$D$26="O")*정산!$G$8+(정산!$E$9=H$2)*(정산!$E$26="O")*정산!$G$9+(정산!$E$10=H$2)*(정산!$F$26="O")*정산!$G$10+(정산!$E$11=H$2)*(정산!$G$26="O")*정산!$G$11+(정산!$E$12=H$2)*(정산!$H$26="O")*정산!$G$12)</f>
        <v>0</v>
      </c>
      <c r="I12" s="22" t="n">
        <f aca="false">IF(OR($A12=0,I$2=0,$A12=I$2),0,(정산!$E$7=I$2)*(정산!$C$26="O")*정산!$G$7+(정산!$E$8=I$2)*(정산!$D$26="O")*정산!$G$8+(정산!$E$9=I$2)*(정산!$E$26="O")*정산!$G$9+(정산!$E$10=I$2)*(정산!$F$26="O")*정산!$G$10+(정산!$E$11=I$2)*(정산!$G$26="O")*정산!$G$11+(정산!$E$12=I$2)*(정산!$H$26="O")*정산!$G$12)</f>
        <v>0</v>
      </c>
      <c r="J12" s="22" t="n">
        <f aca="false">IF(OR($A12=0,J$2=0,$A12=J$2),0,(정산!$E$7=J$2)*(정산!$C$26="O")*정산!$G$7+(정산!$E$8=J$2)*(정산!$D$26="O")*정산!$G$8+(정산!$E$9=J$2)*(정산!$E$26="O")*정산!$G$9+(정산!$E$10=J$2)*(정산!$F$26="O")*정산!$G$10+(정산!$E$11=J$2)*(정산!$G$26="O")*정산!$G$11+(정산!$E$12=J$2)*(정산!$H$26="O")*정산!$G$12)</f>
        <v>0</v>
      </c>
      <c r="K12" s="22" t="n">
        <f aca="false">IF(OR($A12=0,K$2=0,$A12=K$2),0,(정산!$E$7=K$2)*(정산!$C$26="O")*정산!$G$7+(정산!$E$8=K$2)*(정산!$D$26="O")*정산!$G$8+(정산!$E$9=K$2)*(정산!$E$26="O")*정산!$G$9+(정산!$E$10=K$2)*(정산!$F$26="O")*정산!$G$10+(정산!$E$11=K$2)*(정산!$G$26="O")*정산!$G$11+(정산!$E$12=K$2)*(정산!$H$26="O")*정산!$G$12)</f>
        <v>0</v>
      </c>
      <c r="L12" s="22" t="n">
        <f aca="false">IF(OR($A12=0,L$2=0,$A12=L$2),0,(정산!$E$7=L$2)*(정산!$C$26="O")*정산!$G$7+(정산!$E$8=L$2)*(정산!$D$26="O")*정산!$G$8+(정산!$E$9=L$2)*(정산!$E$26="O")*정산!$G$9+(정산!$E$10=L$2)*(정산!$F$26="O")*정산!$G$10+(정산!$E$11=L$2)*(정산!$G$26="O")*정산!$G$11+(정산!$E$12=L$2)*(정산!$H$26="O")*정산!$G$12)</f>
        <v>0</v>
      </c>
      <c r="M12" s="22" t="n">
        <f aca="false">IF(OR($A12=0,M$2=0,$A12=M$2),0,(정산!$E$7=M$2)*(정산!$C$26="O")*정산!$G$7+(정산!$E$8=M$2)*(정산!$D$26="O")*정산!$G$8+(정산!$E$9=M$2)*(정산!$E$26="O")*정산!$G$9+(정산!$E$10=M$2)*(정산!$F$26="O")*정산!$G$10+(정산!$E$11=M$2)*(정산!$G$26="O")*정산!$G$11+(정산!$E$12=M$2)*(정산!$H$26="O")*정산!$G$12)</f>
        <v>0</v>
      </c>
    </row>
    <row r="13" customFormat="false" ht="15" hidden="false" customHeight="false" outlineLevel="0" collapsed="false">
      <c r="A13" s="21" t="n">
        <f aca="false">정산!B27</f>
        <v>0</v>
      </c>
      <c r="B13" s="22" t="n">
        <f aca="false">IF(OR($A13=0,B$2=0,$A13=B$2),0,(정산!$E$7=B$2)*(정산!$C$27="O")*정산!$G$7+(정산!$E$8=B$2)*(정산!$D$27="O")*정산!$G$8+(정산!$E$9=B$2)*(정산!$E$27="O")*정산!$G$9+(정산!$E$10=B$2)*(정산!$F$27="O")*정산!$G$10+(정산!$E$11=B$2)*(정산!$G$27="O")*정산!$G$11+(정산!$E$12=B$2)*(정산!$H$27="O")*정산!$G$12)</f>
        <v>0</v>
      </c>
      <c r="C13" s="22" t="n">
        <f aca="false">IF(OR($A13=0,C$2=0,$A13=C$2),0,(정산!$E$7=C$2)*(정산!$C$27="O")*정산!$G$7+(정산!$E$8=C$2)*(정산!$D$27="O")*정산!$G$8+(정산!$E$9=C$2)*(정산!$E$27="O")*정산!$G$9+(정산!$E$10=C$2)*(정산!$F$27="O")*정산!$G$10+(정산!$E$11=C$2)*(정산!$G$27="O")*정산!$G$11+(정산!$E$12=C$2)*(정산!$H$27="O")*정산!$G$12)</f>
        <v>0</v>
      </c>
      <c r="D13" s="22" t="n">
        <f aca="false">IF(OR($A13=0,D$2=0,$A13=D$2),0,(정산!$E$7=D$2)*(정산!$C$27="O")*정산!$G$7+(정산!$E$8=D$2)*(정산!$D$27="O")*정산!$G$8+(정산!$E$9=D$2)*(정산!$E$27="O")*정산!$G$9+(정산!$E$10=D$2)*(정산!$F$27="O")*정산!$G$10+(정산!$E$11=D$2)*(정산!$G$27="O")*정산!$G$11+(정산!$E$12=D$2)*(정산!$H$27="O")*정산!$G$12)</f>
        <v>0</v>
      </c>
      <c r="E13" s="22" t="n">
        <f aca="false">IF(OR($A13=0,E$2=0,$A13=E$2),0,(정산!$E$7=E$2)*(정산!$C$27="O")*정산!$G$7+(정산!$E$8=E$2)*(정산!$D$27="O")*정산!$G$8+(정산!$E$9=E$2)*(정산!$E$27="O")*정산!$G$9+(정산!$E$10=E$2)*(정산!$F$27="O")*정산!$G$10+(정산!$E$11=E$2)*(정산!$G$27="O")*정산!$G$11+(정산!$E$12=E$2)*(정산!$H$27="O")*정산!$G$12)</f>
        <v>0</v>
      </c>
      <c r="F13" s="22" t="n">
        <f aca="false">IF(OR($A13=0,F$2=0,$A13=F$2),0,(정산!$E$7=F$2)*(정산!$C$27="O")*정산!$G$7+(정산!$E$8=F$2)*(정산!$D$27="O")*정산!$G$8+(정산!$E$9=F$2)*(정산!$E$27="O")*정산!$G$9+(정산!$E$10=F$2)*(정산!$F$27="O")*정산!$G$10+(정산!$E$11=F$2)*(정산!$G$27="O")*정산!$G$11+(정산!$E$12=F$2)*(정산!$H$27="O")*정산!$G$12)</f>
        <v>0</v>
      </c>
      <c r="G13" s="22" t="n">
        <f aca="false">IF(OR($A13=0,G$2=0,$A13=G$2),0,(정산!$E$7=G$2)*(정산!$C$27="O")*정산!$G$7+(정산!$E$8=G$2)*(정산!$D$27="O")*정산!$G$8+(정산!$E$9=G$2)*(정산!$E$27="O")*정산!$G$9+(정산!$E$10=G$2)*(정산!$F$27="O")*정산!$G$10+(정산!$E$11=G$2)*(정산!$G$27="O")*정산!$G$11+(정산!$E$12=G$2)*(정산!$H$27="O")*정산!$G$12)</f>
        <v>0</v>
      </c>
      <c r="H13" s="22" t="n">
        <f aca="false">IF(OR($A13=0,H$2=0,$A13=H$2),0,(정산!$E$7=H$2)*(정산!$C$27="O")*정산!$G$7+(정산!$E$8=H$2)*(정산!$D$27="O")*정산!$G$8+(정산!$E$9=H$2)*(정산!$E$27="O")*정산!$G$9+(정산!$E$10=H$2)*(정산!$F$27="O")*정산!$G$10+(정산!$E$11=H$2)*(정산!$G$27="O")*정산!$G$11+(정산!$E$12=H$2)*(정산!$H$27="O")*정산!$G$12)</f>
        <v>0</v>
      </c>
      <c r="I13" s="22" t="n">
        <f aca="false">IF(OR($A13=0,I$2=0,$A13=I$2),0,(정산!$E$7=I$2)*(정산!$C$27="O")*정산!$G$7+(정산!$E$8=I$2)*(정산!$D$27="O")*정산!$G$8+(정산!$E$9=I$2)*(정산!$E$27="O")*정산!$G$9+(정산!$E$10=I$2)*(정산!$F$27="O")*정산!$G$10+(정산!$E$11=I$2)*(정산!$G$27="O")*정산!$G$11+(정산!$E$12=I$2)*(정산!$H$27="O")*정산!$G$12)</f>
        <v>0</v>
      </c>
      <c r="J13" s="22" t="n">
        <f aca="false">IF(OR($A13=0,J$2=0,$A13=J$2),0,(정산!$E$7=J$2)*(정산!$C$27="O")*정산!$G$7+(정산!$E$8=J$2)*(정산!$D$27="O")*정산!$G$8+(정산!$E$9=J$2)*(정산!$E$27="O")*정산!$G$9+(정산!$E$10=J$2)*(정산!$F$27="O")*정산!$G$10+(정산!$E$11=J$2)*(정산!$G$27="O")*정산!$G$11+(정산!$E$12=J$2)*(정산!$H$27="O")*정산!$G$12)</f>
        <v>0</v>
      </c>
      <c r="K13" s="22" t="n">
        <f aca="false">IF(OR($A13=0,K$2=0,$A13=K$2),0,(정산!$E$7=K$2)*(정산!$C$27="O")*정산!$G$7+(정산!$E$8=K$2)*(정산!$D$27="O")*정산!$G$8+(정산!$E$9=K$2)*(정산!$E$27="O")*정산!$G$9+(정산!$E$10=K$2)*(정산!$F$27="O")*정산!$G$10+(정산!$E$11=K$2)*(정산!$G$27="O")*정산!$G$11+(정산!$E$12=K$2)*(정산!$H$27="O")*정산!$G$12)</f>
        <v>0</v>
      </c>
      <c r="L13" s="22" t="n">
        <f aca="false">IF(OR($A13=0,L$2=0,$A13=L$2),0,(정산!$E$7=L$2)*(정산!$C$27="O")*정산!$G$7+(정산!$E$8=L$2)*(정산!$D$27="O")*정산!$G$8+(정산!$E$9=L$2)*(정산!$E$27="O")*정산!$G$9+(정산!$E$10=L$2)*(정산!$F$27="O")*정산!$G$10+(정산!$E$11=L$2)*(정산!$G$27="O")*정산!$G$11+(정산!$E$12=L$2)*(정산!$H$27="O")*정산!$G$12)</f>
        <v>0</v>
      </c>
      <c r="M13" s="22" t="n">
        <f aca="false">IF(OR($A13=0,M$2=0,$A13=M$2),0,(정산!$E$7=M$2)*(정산!$C$27="O")*정산!$G$7+(정산!$E$8=M$2)*(정산!$D$27="O")*정산!$G$8+(정산!$E$9=M$2)*(정산!$E$27="O")*정산!$G$9+(정산!$E$10=M$2)*(정산!$F$27="O")*정산!$G$10+(정산!$E$11=M$2)*(정산!$G$27="O")*정산!$G$11+(정산!$E$12=M$2)*(정산!$H$27="O")*정산!$G$12)</f>
        <v>0</v>
      </c>
    </row>
    <row r="14" customFormat="false" ht="15" hidden="false" customHeight="false" outlineLevel="0" collapsed="false">
      <c r="A14" s="21" t="n">
        <f aca="false">정산!B28</f>
        <v>0</v>
      </c>
      <c r="B14" s="22" t="n">
        <f aca="false">IF(OR($A14=0,B$2=0,$A14=B$2),0,(정산!$E$7=B$2)*(정산!$C$28="O")*정산!$G$7+(정산!$E$8=B$2)*(정산!$D$28="O")*정산!$G$8+(정산!$E$9=B$2)*(정산!$E$28="O")*정산!$G$9+(정산!$E$10=B$2)*(정산!$F$28="O")*정산!$G$10+(정산!$E$11=B$2)*(정산!$G$28="O")*정산!$G$11+(정산!$E$12=B$2)*(정산!$H$28="O")*정산!$G$12)</f>
        <v>0</v>
      </c>
      <c r="C14" s="22" t="n">
        <f aca="false">IF(OR($A14=0,C$2=0,$A14=C$2),0,(정산!$E$7=C$2)*(정산!$C$28="O")*정산!$G$7+(정산!$E$8=C$2)*(정산!$D$28="O")*정산!$G$8+(정산!$E$9=C$2)*(정산!$E$28="O")*정산!$G$9+(정산!$E$10=C$2)*(정산!$F$28="O")*정산!$G$10+(정산!$E$11=C$2)*(정산!$G$28="O")*정산!$G$11+(정산!$E$12=C$2)*(정산!$H$28="O")*정산!$G$12)</f>
        <v>0</v>
      </c>
      <c r="D14" s="22" t="n">
        <f aca="false">IF(OR($A14=0,D$2=0,$A14=D$2),0,(정산!$E$7=D$2)*(정산!$C$28="O")*정산!$G$7+(정산!$E$8=D$2)*(정산!$D$28="O")*정산!$G$8+(정산!$E$9=D$2)*(정산!$E$28="O")*정산!$G$9+(정산!$E$10=D$2)*(정산!$F$28="O")*정산!$G$10+(정산!$E$11=D$2)*(정산!$G$28="O")*정산!$G$11+(정산!$E$12=D$2)*(정산!$H$28="O")*정산!$G$12)</f>
        <v>0</v>
      </c>
      <c r="E14" s="22" t="n">
        <f aca="false">IF(OR($A14=0,E$2=0,$A14=E$2),0,(정산!$E$7=E$2)*(정산!$C$28="O")*정산!$G$7+(정산!$E$8=E$2)*(정산!$D$28="O")*정산!$G$8+(정산!$E$9=E$2)*(정산!$E$28="O")*정산!$G$9+(정산!$E$10=E$2)*(정산!$F$28="O")*정산!$G$10+(정산!$E$11=E$2)*(정산!$G$28="O")*정산!$G$11+(정산!$E$12=E$2)*(정산!$H$28="O")*정산!$G$12)</f>
        <v>0</v>
      </c>
      <c r="F14" s="22" t="n">
        <f aca="false">IF(OR($A14=0,F$2=0,$A14=F$2),0,(정산!$E$7=F$2)*(정산!$C$28="O")*정산!$G$7+(정산!$E$8=F$2)*(정산!$D$28="O")*정산!$G$8+(정산!$E$9=F$2)*(정산!$E$28="O")*정산!$G$9+(정산!$E$10=F$2)*(정산!$F$28="O")*정산!$G$10+(정산!$E$11=F$2)*(정산!$G$28="O")*정산!$G$11+(정산!$E$12=F$2)*(정산!$H$28="O")*정산!$G$12)</f>
        <v>0</v>
      </c>
      <c r="G14" s="22" t="n">
        <f aca="false">IF(OR($A14=0,G$2=0,$A14=G$2),0,(정산!$E$7=G$2)*(정산!$C$28="O")*정산!$G$7+(정산!$E$8=G$2)*(정산!$D$28="O")*정산!$G$8+(정산!$E$9=G$2)*(정산!$E$28="O")*정산!$G$9+(정산!$E$10=G$2)*(정산!$F$28="O")*정산!$G$10+(정산!$E$11=G$2)*(정산!$G$28="O")*정산!$G$11+(정산!$E$12=G$2)*(정산!$H$28="O")*정산!$G$12)</f>
        <v>0</v>
      </c>
      <c r="H14" s="22" t="n">
        <f aca="false">IF(OR($A14=0,H$2=0,$A14=H$2),0,(정산!$E$7=H$2)*(정산!$C$28="O")*정산!$G$7+(정산!$E$8=H$2)*(정산!$D$28="O")*정산!$G$8+(정산!$E$9=H$2)*(정산!$E$28="O")*정산!$G$9+(정산!$E$10=H$2)*(정산!$F$28="O")*정산!$G$10+(정산!$E$11=H$2)*(정산!$G$28="O")*정산!$G$11+(정산!$E$12=H$2)*(정산!$H$28="O")*정산!$G$12)</f>
        <v>0</v>
      </c>
      <c r="I14" s="22" t="n">
        <f aca="false">IF(OR($A14=0,I$2=0,$A14=I$2),0,(정산!$E$7=I$2)*(정산!$C$28="O")*정산!$G$7+(정산!$E$8=I$2)*(정산!$D$28="O")*정산!$G$8+(정산!$E$9=I$2)*(정산!$E$28="O")*정산!$G$9+(정산!$E$10=I$2)*(정산!$F$28="O")*정산!$G$10+(정산!$E$11=I$2)*(정산!$G$28="O")*정산!$G$11+(정산!$E$12=I$2)*(정산!$H$28="O")*정산!$G$12)</f>
        <v>0</v>
      </c>
      <c r="J14" s="22" t="n">
        <f aca="false">IF(OR($A14=0,J$2=0,$A14=J$2),0,(정산!$E$7=J$2)*(정산!$C$28="O")*정산!$G$7+(정산!$E$8=J$2)*(정산!$D$28="O")*정산!$G$8+(정산!$E$9=J$2)*(정산!$E$28="O")*정산!$G$9+(정산!$E$10=J$2)*(정산!$F$28="O")*정산!$G$10+(정산!$E$11=J$2)*(정산!$G$28="O")*정산!$G$11+(정산!$E$12=J$2)*(정산!$H$28="O")*정산!$G$12)</f>
        <v>0</v>
      </c>
      <c r="K14" s="22" t="n">
        <f aca="false">IF(OR($A14=0,K$2=0,$A14=K$2),0,(정산!$E$7=K$2)*(정산!$C$28="O")*정산!$G$7+(정산!$E$8=K$2)*(정산!$D$28="O")*정산!$G$8+(정산!$E$9=K$2)*(정산!$E$28="O")*정산!$G$9+(정산!$E$10=K$2)*(정산!$F$28="O")*정산!$G$10+(정산!$E$11=K$2)*(정산!$G$28="O")*정산!$G$11+(정산!$E$12=K$2)*(정산!$H$28="O")*정산!$G$12)</f>
        <v>0</v>
      </c>
      <c r="L14" s="22" t="n">
        <f aca="false">IF(OR($A14=0,L$2=0,$A14=L$2),0,(정산!$E$7=L$2)*(정산!$C$28="O")*정산!$G$7+(정산!$E$8=L$2)*(정산!$D$28="O")*정산!$G$8+(정산!$E$9=L$2)*(정산!$E$28="O")*정산!$G$9+(정산!$E$10=L$2)*(정산!$F$28="O")*정산!$G$10+(정산!$E$11=L$2)*(정산!$G$28="O")*정산!$G$11+(정산!$E$12=L$2)*(정산!$H$28="O")*정산!$G$12)</f>
        <v>0</v>
      </c>
      <c r="M14" s="22" t="n">
        <f aca="false">IF(OR($A14=0,M$2=0,$A14=M$2),0,(정산!$E$7=M$2)*(정산!$C$28="O")*정산!$G$7+(정산!$E$8=M$2)*(정산!$D$28="O")*정산!$G$8+(정산!$E$9=M$2)*(정산!$E$28="O")*정산!$G$9+(정산!$E$10=M$2)*(정산!$F$28="O")*정산!$G$10+(정산!$E$11=M$2)*(정산!$G$28="O")*정산!$G$11+(정산!$E$12=M$2)*(정산!$H$28="O")*정산!$G$12)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2026-10-19T04:32:36Z</dcterms:created>
  <dc:creator>openpyxl</dc:creator>
  <dc:description/>
  <dc:language>en-US</dc:language>
  <cp:lastModifiedBy/>
  <dcterms:modified xsi:type="dcterms:W3CDTF">2026-10-19T04:32:36Z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